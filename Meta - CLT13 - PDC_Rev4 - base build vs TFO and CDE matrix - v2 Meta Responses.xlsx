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digitalrealty.sharepoint.com/sites/SolutionsEngineering/Shared Documents/General/05 - Customer Specific/META/North America/CLT13 Moores Chapel/PDC/"/>
    </mc:Choice>
  </mc:AlternateContent>
  <xr:revisionPtr revIDLastSave="0" documentId="8_{8EB00548-3BC8-47EF-8D7E-128F98CCC372}" xr6:coauthVersionLast="47" xr6:coauthVersionMax="47" xr10:uidLastSave="{00000000-0000-0000-0000-000000000000}"/>
  <bookViews>
    <workbookView xWindow="16170" yWindow="-16320" windowWidth="29040" windowHeight="15720" xr2:uid="{6AD78128-3033-4305-9495-3FC4A67A308B}"/>
  </bookViews>
  <sheets>
    <sheet name="PDC_Rev04" sheetId="1" r:id="rId1"/>
    <sheet name="D" sheetId="2" r:id="rId2"/>
    <sheet name="She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19" i="1" l="1"/>
  <c r="N418" i="1"/>
  <c r="N417" i="1"/>
  <c r="H417" i="2"/>
  <c r="H416" i="2"/>
  <c r="F4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tc={7C146B12-5AD9-4EAD-93AC-25A59EE3AAB0}</author>
    <author>tc={35CA8BAE-A77C-43A8-B9B2-8647431986A1}</author>
  </authors>
  <commentList>
    <comment ref="N65" authorId="0" shapeId="0" xr:uid="{7C146B12-5AD9-4EAD-93AC-25A59EE3AAB0}">
      <text>
        <t>[Threaded comment]
Your version of Excel allows you to read this threaded comment; however, any edits to it will get removed if the file is opened in a newer version of Excel. Learn more: https://go.microsoft.com/fwlink/?linkid=870924
Comment:
    Unless Meta agrees to pay for additional FWUs to decrease to 22FdT</t>
      </text>
    </comment>
    <comment ref="N66" authorId="1" shapeId="0" xr:uid="{35CA8BAE-A77C-43A8-B9B2-8647431986A1}">
      <text>
        <t>[Threaded comment]
Your version of Excel allows you to read this threaded comment; however, any edits to it will get removed if the file is opened in a newer version of Excel. Learn more: https://go.microsoft.com/fwlink/?linkid=870924
Comment:
    Unless Meta agrees to pay for additional FWUs to increase to 158 CFM/kW requirement</t>
      </text>
    </comment>
  </commentList>
</comments>
</file>

<file path=xl/sharedStrings.xml><?xml version="1.0" encoding="utf-8"?>
<sst xmlns="http://schemas.openxmlformats.org/spreadsheetml/2006/main" count="10605" uniqueCount="1136">
  <si>
    <r>
      <t xml:space="preserve">Changed responses shown in </t>
    </r>
    <r>
      <rPr>
        <b/>
        <sz val="10"/>
        <color rgb="FFFF0000"/>
        <rFont val="Arial"/>
        <family val="2"/>
      </rPr>
      <t>red</t>
    </r>
  </si>
  <si>
    <t>1 = No brainer, 2 = internal discussion required, 3 = NFW</t>
  </si>
  <si>
    <t>Page # reference</t>
  </si>
  <si>
    <t>Section</t>
  </si>
  <si>
    <t>Subsection</t>
  </si>
  <si>
    <t>Requirement</t>
  </si>
  <si>
    <t>Scope</t>
  </si>
  <si>
    <t>CDE</t>
  </si>
  <si>
    <t>Status</t>
  </si>
  <si>
    <t>Landlord comment</t>
  </si>
  <si>
    <t>Meta Response</t>
  </si>
  <si>
    <t>Paid By</t>
  </si>
  <si>
    <t>Complexity</t>
  </si>
  <si>
    <t>Jbrunen Response</t>
  </si>
  <si>
    <t>CRitsema Responses</t>
  </si>
  <si>
    <t>DLR Final Response</t>
  </si>
  <si>
    <t>Responsible Party w/i DLR</t>
  </si>
  <si>
    <t>§1</t>
  </si>
  <si>
    <t>N/A</t>
  </si>
  <si>
    <t>Intent of Document</t>
  </si>
  <si>
    <t>Base Build (part); TFO (part)</t>
  </si>
  <si>
    <t>Comply (part); Deviation (part); Exception (part)</t>
  </si>
  <si>
    <t>Closed</t>
  </si>
  <si>
    <t>Landlord will Comply, Deviate, or take Exception to any and all Meta Data Center requirements as they relate to each Program Design Criteria (PDC) section, subsection, or line item as stated below.</t>
  </si>
  <si>
    <t>-</t>
  </si>
  <si>
    <t>Header item only.</t>
  </si>
  <si>
    <t>§2</t>
  </si>
  <si>
    <t>Bullet #1</t>
  </si>
  <si>
    <t>Landlord Design Team Expectations: Landlord shall deliver mechanical, electrical, BMS/controls, plumbing, fire protection, architectural, structural, AV, and food services design and construction administration services for the fit-out of data halls, network suites, administration, and support spaces within colocation data center facilities.</t>
  </si>
  <si>
    <t>Comply</t>
  </si>
  <si>
    <t>Open</t>
  </si>
  <si>
    <r>
      <t xml:space="preserve">Design services and construction administration for certain aspects of mechanical, electrical, BMS/controls, plumbing, fire protection, architectural, and structural systems will be provided as part of Tenant Fit-Out (TFO) scope of work.  All design services and construction administration for AV (audio visual) systems </t>
    </r>
    <r>
      <rPr>
        <b/>
        <sz val="12"/>
        <color rgb="FFFF0000"/>
        <rFont val="Times New Roman"/>
        <family val="1"/>
      </rPr>
      <t>and food service</t>
    </r>
    <r>
      <rPr>
        <sz val="12"/>
        <color theme="1"/>
        <rFont val="Times New Roman"/>
        <family val="1"/>
      </rPr>
      <t xml:space="preserve"> will be provided as part of Tenant Fit-Out (TFO) scope of work.  </t>
    </r>
    <r>
      <rPr>
        <strike/>
        <sz val="12"/>
        <color rgb="FFFF0000"/>
        <rFont val="Times New Roman"/>
        <family val="1"/>
      </rPr>
      <t>Food services design, build-out, and construction administration services will not be provided by Landlord.</t>
    </r>
  </si>
  <si>
    <t>Not accepted. We will need to have a microkitchen put in the admin space.</t>
  </si>
  <si>
    <t>Meta</t>
  </si>
  <si>
    <t>Digital Realty agrees to delivery of the kitchen requirement within the office premise area as part of the TFO process.</t>
  </si>
  <si>
    <t>Digital Realty response changed to "Comply".  Item will be paid for by Meta as part of TFO NRCs.</t>
  </si>
  <si>
    <t>Dan Kingman</t>
  </si>
  <si>
    <t>Bullet #2</t>
  </si>
  <si>
    <t>Landlord Design Team Expectations: Landlord Design team is required to contract or coordinate with the following partners for scopes as indicated.</t>
  </si>
  <si>
    <t>TFO</t>
  </si>
  <si>
    <t>Comply with coordinating directly with Meta for cabling; exception is taken to contracting or coordinating with RAS - Ronald Sadusky as food services design, build-out, and construction services will not be provided by Landlord; comply with contracting or coordinating with one of Meta's listed A/V consultants.</t>
  </si>
  <si>
    <t>Bullet #3</t>
  </si>
  <si>
    <t>Landlord Design Team Expectations: The Landlord is required to provide documents for Meta reviews at 100%SD, 100%DD, 50%CD, and 95%CD. Review sessions shall be open for 5 business days to allow Meta team to comment. All comments shall be adjudicated by the Design Team and provided back to the Meta Team. The Deliverable Requirements Table for Meta fit-out scope is provided as a reference.</t>
  </si>
  <si>
    <t>Comply (part); Exception (part)</t>
  </si>
  <si>
    <t>Landlord will provide 95%CD or IFC (Issued for Construction) drawings for Base Build items for Tenant review.  Exception is taken to providing 100%SD, 100%DD, and 50%CD drawings to Tenant as these milestones have already been completed prior to the Effective Date of the Lease.  Landlord will provide 100%SD, 100%DD, 50%CD, and 95%CD drawings for Tenant Fit-Out (TFO) scope of work items as part of Tenant Fit-Out (TFO) scope of work.</t>
  </si>
  <si>
    <t>Accepted</t>
  </si>
  <si>
    <t>Digital Realty</t>
  </si>
  <si>
    <t>Accepted, no further comment</t>
  </si>
  <si>
    <t>No response received from Meta.  Digital Realty confirms that we comply and that no changes are required.  Item will be paid for by Digital Realty as part of Base Build.</t>
  </si>
  <si>
    <t>Deviate: Landlord will provide 95%CD or IFC (Issued for Construction) drawings for Base Build items for Tenant review.  Landlord will provide 100%SD, 100%DD, 50%CD, and 95%CD drawings for Tenant Fit-Out (TFO) scope of work items as part of Tenant Fit-Out (TFO) scope of work.</t>
  </si>
  <si>
    <t>Bullet #4</t>
  </si>
  <si>
    <t>Landlord Design Team Expectations: Landlord shall deliver record docs and models for future Meta reference.</t>
  </si>
  <si>
    <t>Record documents and models shall be in electronic form (REVIT, CAD, or PDF) and shall be in file formats mutually agreed upon by Landlord and Tenant.</t>
  </si>
  <si>
    <t>Assumed to be accepted.</t>
  </si>
  <si>
    <t>Bullet #5</t>
  </si>
  <si>
    <t>Landlord Design Team Expectations: The project must adhere to all required building codes to meet local agency approval.</t>
  </si>
  <si>
    <t>No comment.</t>
  </si>
  <si>
    <t>§3</t>
  </si>
  <si>
    <t>Related Documents:  Owner's Project Requirements (OPR)</t>
  </si>
  <si>
    <t>Landlord will Comply, Deviate, or take Exception to any and all  Owner's Project Requirements (OPR) requirements as they relate to each Program Design Criteria (PDC) section, subsection, or line item as stated below.</t>
  </si>
  <si>
    <t>Related Documents:  Data Center Space Standards</t>
  </si>
  <si>
    <t>Base Build</t>
  </si>
  <si>
    <t>Exception</t>
  </si>
  <si>
    <t>A general exception is take to Meta "Data Center Space Standards" requirements.  Landlord is providing and Tenant is leasing data halls, office space, storage space, and ancillary space(s) based upon Landlord's building design and space planning requirements.</t>
  </si>
  <si>
    <t>Not accepted. Meta has specific requirements for operating the tenant spaces, and need those to be fit-out per our standards.</t>
  </si>
  <si>
    <t>Need to review DCSS document to understand requirement.</t>
  </si>
  <si>
    <t>Related Documents:  Data Center Signage Guidelines</t>
  </si>
  <si>
    <r>
      <t>Any and all signage required by Meta to conform to Meta "Data Center Signage Guidelines" requirements will be provided as part of Tenant Fit-Out (TFO) scope of work.</t>
    </r>
    <r>
      <rPr>
        <strike/>
        <sz val="12"/>
        <color rgb="FFFF0000"/>
        <rFont val="Times New Roman"/>
        <family val="1"/>
      </rPr>
      <t xml:space="preserve"> Compliance with, deviation from, or exception to Meta "Data Center Signage Guidelines" requirements will be determined as part of Tenant Fit-Out (TFO) scope of work.</t>
    </r>
  </si>
  <si>
    <t>Not accepted. Need alignment that Meta standards will be followed for Meta occupied spaces.</t>
  </si>
  <si>
    <t>Need to review DCSG to understand requirement</t>
  </si>
  <si>
    <t>Related Documents:  Meta PQM Performance Spec Rev 4</t>
  </si>
  <si>
    <t>All equipment metering required per Meta PQM Performance Spec requirements will be provided as part of Tenant Fit-Out (TFO) scope of work.  This includes all CTs, PTs, branch circuit monitoring systems (BCMS), meters, meter enclosures, conduits &amp; raceways, wiring, fixtures, fittings, hardware, 120VAC power, UPS systems, batteries, transformers, BMS/EPMS/DCIM interfacing, start-up, testing, programming, provisioning, and commissioning. Compliance with, deviation from, or exception to "Meta PQM Performance Spec Rev 4" requirements will be determined as part of Tenant Fit-Out (TFO) scope of work.</t>
  </si>
  <si>
    <t>PQM coordination can be part of TFO but expectation is LL is complying with spec.</t>
  </si>
  <si>
    <t>Need to review MetaPQM to understand requirement.</t>
  </si>
  <si>
    <t>Need confirmation that we can fit dual CTs and PTs on equipment (one set for DLR metering, the second set for Meta metering).</t>
  </si>
  <si>
    <t>§4</t>
  </si>
  <si>
    <t>Design Criteria</t>
  </si>
  <si>
    <t>Landlord will Comply, Deviate, or take Exception to any and all Meta design criteria and basis of design as they relate to each Program Design Criteria (PDC) section, subsection, or line item as stated below.</t>
  </si>
  <si>
    <t>Electrical</t>
  </si>
  <si>
    <t>§A</t>
  </si>
  <si>
    <r>
      <rPr>
        <u/>
        <sz val="12"/>
        <color theme="1"/>
        <rFont val="Times New Roman"/>
        <family val="1"/>
      </rPr>
      <t>Equipment metering</t>
    </r>
    <r>
      <rPr>
        <sz val="12"/>
        <color theme="1"/>
        <rFont val="Times New Roman"/>
        <family val="1"/>
      </rPr>
      <t xml:space="preserve">
a.  Provide CT's, Branch Circuit Monitoring and Meter Enclosures as required per Meta PQM Performance Spec requirements (metering locations to be reviewed/finalized during tenant fit out design development).
     i.  Metering locations to include:
         1.  Both Normal &amp; Gen power, OR aggregate at all MSB's.
         2.  Metering of the common bus at all CDP/COD boards.
         3.  CDP/COD reserve loop feeder breaker in MSB Reserve board .
         4.  Row-level branch circuit monitoring.
    b.  Provide all required interconnects between meter enclosures and LL equipment as well as Meta gateways (DCIM head end panels).  Provide dual 120V UPS backed circuits to all meter enclosures.   Refer to the BMS/DCIM section of this document for additional requirements.</t>
    </r>
  </si>
  <si>
    <t>No response received from Meta.  Digital Realty response changed to "Comply".  Item will be paid for by Meta as part of TFO NRCs.</t>
  </si>
  <si>
    <t>§B.a.i</t>
  </si>
  <si>
    <t>Data Hall Server Row Power: 480/277V busways preferred (415/240V acceptable as alternative), lengths per rack layout.</t>
  </si>
  <si>
    <t>480/277V power will not be provided.  All server row power will be 415/240V. Row length and busway length will be determined as part of Tenant Fit-Out (TFO) scope of work.</t>
  </si>
  <si>
    <t>Need feedback from Meta which is preferred, current plan is 480/415.</t>
  </si>
  <si>
    <t>Comply: 415/240V busway</t>
  </si>
  <si>
    <t>§B.a.iii</t>
  </si>
  <si>
    <t>Data Hall Server Row Power: (1) Baseline Tap Box with dual L22-30R per rack position. Tap box layout to be reviewed/finalized during tenant fit out design development.</t>
  </si>
  <si>
    <t xml:space="preserve">Tap-off box configuration, quantities, and locations will be determined as part of Tenant Fit-Out (TFO) scope of work. </t>
  </si>
  <si>
    <t>Please note that tap boxes will need to be fused. To be coordinated during TFO.</t>
  </si>
  <si>
    <t>Agreed, to be incorporated in to design during TFO</t>
  </si>
  <si>
    <t>Digital Realty confirms that we comply and that no changes are required.  Item will be paid for by Meta as part of TFO NRCs.</t>
  </si>
  <si>
    <t>Data Hall Server Row Power: Row busway to be rated 800A and fed from 100% rated 800A breaker (2x400A configuration acceptable as well). Busway size to be reviewed/finalized during tenant fit out design development.</t>
  </si>
  <si>
    <t>Power Distribution Unit (PDU) output breakers which feed the row busways are currently 600AF/AT.  All PDU output breakers will be changed to 800AF/AT, 3P, 100% rated breakers as part of Base Building scope of work.</t>
  </si>
  <si>
    <t>Are we (DLR) covering the PDU breaker swap cost?</t>
  </si>
  <si>
    <t>Digital Realty response changed to "Comply".  Item will be paid for by Digital Realty as part of Base Build.</t>
  </si>
  <si>
    <t>Comply: 1x800A busway to be provided</t>
  </si>
  <si>
    <t>§B.a.iv</t>
  </si>
  <si>
    <t>Data Hall Server Row Power: Maximum available fault current to be 25KAIC at the server PSU input. Where 25KAIC is not achievable, Current-limiting fuse tap boxes must be used.</t>
  </si>
  <si>
    <t xml:space="preserve">Tap-off box configuration, quantities, and locations will be engineered, furnished, and installed (EF&amp;I) as part of Tenant Fit-Out (TFO) scope of work. </t>
  </si>
  <si>
    <t>No response received from Meta.  Digital Realty confirms that we comply and that no changes are required.  Item will be paid for by Meta as part of TFO NRCs.</t>
  </si>
  <si>
    <t>§B.a.v</t>
  </si>
  <si>
    <t xml:space="preserve">Data Hall Server Row Power: Each row to have manual transition between primary and reserve power sources  </t>
  </si>
  <si>
    <t>Each row will have manual transition between primary and reserve power sources located in the white space.  Manual transfer switches (MTS's) will be provided as part of Tenant Fit-Out (TFO) scope-of-work.</t>
  </si>
  <si>
    <t>No feedback from Meta, no disagreement from DLR to accommodate as part of the TFO process at Meta's cost.</t>
  </si>
  <si>
    <t>§B.a.vi</t>
  </si>
  <si>
    <t xml:space="preserve">Data Hall Server Row Power: Accessibility/maintenance: Busway horizontal access requirement is &lt;2’ from front of the rack to the busway itself (not front of tap box). </t>
  </si>
  <si>
    <t xml:space="preserve">Power busway locations will be determined as part of Tenant Fit-Out (TFO) scope of work. </t>
  </si>
  <si>
    <t>Assumed agreed, busway locations to be agreed to by Meta prior to install.</t>
  </si>
  <si>
    <t>§B.a.vii</t>
  </si>
  <si>
    <t xml:space="preserve">Data Hall Server Row Power: Each electrical distribution block shall never feed more than 2 data hall suites </t>
  </si>
  <si>
    <t>Assumed Closed</t>
  </si>
  <si>
    <t>Assumed Closed, Each Suite Has Dedicated Infrastructure</t>
  </si>
  <si>
    <t>§B.b.i</t>
  </si>
  <si>
    <t>Reserve Connections: LL to provide a Reserve/catcher system. Each row has a manual transition to reserve; these connections may be daisy-chained such that one reserve switchboard is sufficient for all rows within a data hall. For all equipment serving more than one fault domain, the transition to reserve must be automatic. Intent is to be fully concurrently-maintable for all equipment serving more than one row, and fault tolerant for all equipment serving more than one failure domain.</t>
  </si>
  <si>
    <t>Deviation</t>
  </si>
  <si>
    <t>Each PDU will have a reserve catcher system with automatic transfer switches (ATS's) as part of the Base Build.  PDUs are concurrently maintanable. Manual transfer switches (MTS's) for each row can be provided as part of Tenant Fit-Out (TFO) scope-of-work.</t>
  </si>
  <si>
    <t>Require feedback from Meta</t>
  </si>
  <si>
    <t>No response received from Meta.  Digital Realty confirms deviation response and that no changes are required.  Item will be paid for by Meta as part of TFO NRCs.</t>
  </si>
  <si>
    <t>§B.c.i</t>
  </si>
  <si>
    <t xml:space="preserve">UPS-Backed Ancillary Power: Provide dual 120V, 20A/1P, UPS backed circuits from diverse panels to meter enclosures. </t>
  </si>
  <si>
    <t>All equipment metering required per Meta PQM Performance Spec requirements will be provided as part of Tenant Fit-Out (TFO) scope of work.  This includes all CTs, PTs, branch circuit monitoring systems (BCMS), meters, meter enclosures, conduits &amp; raceways, wiring, fixtures, fittings, hardware, 120VAC power, UPS systems, batteries, transformers, BMS/EPMS/DCIM interfacing, start-up, testing, programming, provisioning, and commissioning.</t>
  </si>
  <si>
    <t>Assumed to be accepted as part of Meta TFO.</t>
  </si>
  <si>
    <t>§B.c.ii</t>
  </si>
  <si>
    <t xml:space="preserve">UPS-Backed Ancillary Power: Provide dual 230V, 20A/1P, UPS backed circuits from diverse panels to cold  aisle goal post receptacles.   </t>
  </si>
  <si>
    <t>Dual 230V, 20A, 1P, UPS backed circuits from diverse panels will be provided to aisle goal post receptacles as part of Tenant Fit-Out (TFO) scope of work. Hot aisle containment (HAC) will be utilized in all data halls.</t>
  </si>
  <si>
    <t xml:space="preserve">Why does this say DEVIATE? Should be comply. </t>
  </si>
  <si>
    <t>§B.c.iii</t>
  </si>
  <si>
    <t xml:space="preserve">UPS-Backed Ancillary Power: Provide dual UPS-backed power to all IDF racks </t>
  </si>
  <si>
    <t>§B.d.i</t>
  </si>
  <si>
    <t>Convenience Power: Cord reels (GFCI) or convenience receptacles are required to be accessible at every row.</t>
  </si>
  <si>
    <t>Cord reels (GFCI) or convenience receptacles will be accessible at every row and will be provided as part of Tenant Fit-Out (TFO) scope of work.</t>
  </si>
  <si>
    <t>§B.e.i</t>
  </si>
  <si>
    <t xml:space="preserve">Grounding: Provide (2) ground bars in each data hall. Refer to technology for  requirements.  </t>
  </si>
  <si>
    <t>A minimum of two (2) ground bars will be provided in each data hall.  Ground bar size, configuration, and locations shall be as stated in Landlord's electrical drawings and specifications.</t>
  </si>
  <si>
    <t xml:space="preserve">Will need to be coordinated with technology during TFO to ensure it meets requirements. </t>
  </si>
  <si>
    <t>§B.f.i</t>
  </si>
  <si>
    <t>Transfer Inhibit: Landlord-provided transfer inhibits for each block redundant system to ensure the reserve system is not overloaded. Include capability to prevent automatic transfer in case a bypass procedure is being performed downstream.</t>
  </si>
  <si>
    <t>§B.g.i</t>
  </si>
  <si>
    <t xml:space="preserve">Power System Study: For row level breakers, please ensure the minimum settings are such:
1. LTPU: Busway full load rating (example: 400A)
2. LTD: 12, I2T on (ensure within cable / busway thermal limits)
3. STPU: 2x LTPU
4. STD: 0.2, I2T off
5. Inst: 10x LTPU </t>
  </si>
  <si>
    <t>Row level breaker settings will be programmed as part of Tenant Fit-Out (TFO) scope of work.</t>
  </si>
  <si>
    <t>Deviate: Lanlord will endeavor to utilize Meta minimum settings as listed; final trip unit settings will be determined via SCCS</t>
  </si>
  <si>
    <t>§B.g.ii</t>
  </si>
  <si>
    <t>Power System Study: Ensure breakers upstream of row level coordinate with the settings above</t>
  </si>
  <si>
    <t>Row level breakers will be fully coordinated with all upstream breakers as part of Tenant Fit-Out (TFO) scope of work.</t>
  </si>
  <si>
    <t>§C.a.i</t>
  </si>
  <si>
    <t>Network System Row Power: (2) 415/240V dual UPS-backed busways in network suite. All remaining network busways to be single-corded, non-UPS-backed, 480/277V preferred (415/240V acceptable as alternative). Quantity of UPS backed rows to be reviewed/finalized during tenant fit out design development.</t>
  </si>
  <si>
    <t>480/277V power will not be provided.  All network row power will be 415/240V and will be UPS backed. Quantity of rows, row length, and busway length will be determined as part of Tenant Fit-Out (TFO) scope of work.</t>
  </si>
  <si>
    <t>§C.a.ii</t>
  </si>
  <si>
    <t>Network System Row Power: Lengths per rack layout.</t>
  </si>
  <si>
    <t>Quantity of rows, row length, and busway length will be determined as part of Tenant Fit-Out (TFO) scope of work.</t>
  </si>
  <si>
    <t>§C.a.iii</t>
  </si>
  <si>
    <t>Network System Row Power: Each busway to be rated 800A and powered from 800A, 100% rated breakers (2x 400A configuration acceptable as well).  Busway size to be reviewed/finalized during tenant fit out design development.</t>
  </si>
  <si>
    <t>§C.a.iv</t>
  </si>
  <si>
    <t>Network System Row Power: Tapboxes with dual L22-30R per rack position. Tap box type to match server areas.  Quantities and locations per rack layout.</t>
  </si>
  <si>
    <t>§C.a.v</t>
  </si>
  <si>
    <t xml:space="preserve">Network System Row Power: Accessibility/maintenance: Busway horizontal access requirement is &lt;2’  from front of the rack to the busway itself (not front of tap box). Any larger  distance requires further evaluation and alignment with Meta.  </t>
  </si>
  <si>
    <t>§C.b.i</t>
  </si>
  <si>
    <t xml:space="preserve">Network System Grounding: Provide (2) ground bars in each space. Refer to technology for  requirements. </t>
  </si>
  <si>
    <t>§D.a</t>
  </si>
  <si>
    <t>Admin and DC Support Spaces: Refer to DSS for power and grounding requirements.</t>
  </si>
  <si>
    <t>Any and all power and grounding for admin and data center support spaces will be provided as part of Tenant Fit-Out (TFO) scope of work.</t>
  </si>
  <si>
    <t>§E.a</t>
  </si>
  <si>
    <t>Landlord is providing a baseline lighting design for the data halls as of the Effective Date of the Lease.  Moves, adds, changes, or reconfigurations to Landlord's baseline lighting layout and design,  including coordination with Tenant's rack &amp; row layouts and with other overhead services will be provided as part of Tenant Fit-Out (TFO) scope of work. All lighting for Tenant leased Office Space, Storage Space, and Ancillary Space(s) will be provided as part of Tenant Fit-Out (TFO) scope of work.</t>
  </si>
  <si>
    <t>No response received from Meta.  Digital Realty confirms that we comply and that no changes are required.  Any modifications to Landlord's baseline lighting package will be paid for by Meta as part of TFO NRCs.</t>
  </si>
  <si>
    <t>§E.b</t>
  </si>
  <si>
    <t xml:space="preserve">Lighting: Light levels to meet Meta standards in accordance with the DCC.   </t>
  </si>
  <si>
    <t>Landlord is providing a baseline lighting design for the data halls as of the Effective Date of the Lease.  Moves, adds, changes, or reconfigurations to Landlord's baseline lighting layout and design,  including coordination with Tenant's rack &amp; row layouts and with other overhead services to meet Tenant illumination requirements will be provided as part of Tenant Fit-Out (TFO) scope of work. All lighting for Tenant leased Office Space, Storage Space, and Ancillary Space(s) to meet Tenant illumination requirements will be provided as part of Tenant Fit-Out (TFO) scope of work.</t>
  </si>
  <si>
    <t>§F.a</t>
  </si>
  <si>
    <t>Nameplates: All Meta equipment to have a nameplate that is legible from ground level</t>
  </si>
  <si>
    <t>Nameplates for all Meta equipment will be provided as part of Tenant Fit-Out (TFO) scope of work. Nameplates for all Landlord equipment will comply with Landlord nameplate requirements.</t>
  </si>
  <si>
    <t>§F.b</t>
  </si>
  <si>
    <t>Nameplates: Nameplate to include at least the following information:
i.  Equipment Name
ii.  Fed from:
iii.  Source 1 and source 2 information (if applicable)</t>
  </si>
  <si>
    <t>Digital Realty will follow Meta labeling schema, costs to be part of the TFO scope of work.</t>
  </si>
  <si>
    <t>§F.c</t>
  </si>
  <si>
    <t>Nameplates: Examples shown below:</t>
  </si>
  <si>
    <t>Mechanical</t>
  </si>
  <si>
    <t>§A.1</t>
  </si>
  <si>
    <t>Admin Offices and Support Spaces: Office/Support space cooling design to match Meta temperature and humidity standards as listed in the Data Center Space Standards (DCSS) document.</t>
  </si>
  <si>
    <t>Cooling design for Office Space, Storage Spaces, and Ancillary Space(s) will be provided as part of Tenant Fit-Out (TFO) scope of work. Compliance with, deviation from, or exception to office space and support space cooling design requirements per Meta "Data Center Space Standards (DCSS)" document requirements will be determined as part of Tenant Fit-Out (TFO) scope of work.</t>
  </si>
  <si>
    <t>Digital Realty will provide basic comfort cooling for office and storage spaces, further upgrades or enhancements may be made by Meta as part of the TFO process.</t>
  </si>
  <si>
    <t>§A.2</t>
  </si>
  <si>
    <t>Admin Offices and Support Spaces: Size supplementary cooling/heating systems, if landlord’s air handler capacity is unable to meet office/support requirements, at design ambient ASHRAE conditions (0.4%cooling, 99.6% heating)</t>
  </si>
  <si>
    <t>Cooling design for Office Space, Storage Spaces, and Ancillary Space(s) will be provided as part of Tenant Fit-Out (TFO) scope of work.</t>
  </si>
  <si>
    <t>§A.3</t>
  </si>
  <si>
    <t>Admin Offices and Support Spaces: Supplementary ventilation to be based on ASHRAE 62.1</t>
  </si>
  <si>
    <t>§A.4</t>
  </si>
  <si>
    <t>Admin Offices and Support Spaces: Minimum admin space humidity of 30% RH</t>
  </si>
  <si>
    <t>§B.1</t>
  </si>
  <si>
    <t>Studies and tooling: Development of rack loading based on site electrical distribution and review of landlord CFD (computational fluid dynamic) model to support Meta rack layout and temperature/humidity SLA requirements for all critical spaces.</t>
  </si>
  <si>
    <t>Development of rack loading, rack location determination, and review of Landlord data hall CFD model(s) will be provided as part of Tenant Fit-Out (TFO) scope of work.</t>
  </si>
  <si>
    <t>§C.1</t>
  </si>
  <si>
    <t>Data Hall (Megapod)/Network Rooms: Provide infrastructure to support up to 100 percent (by power) air-cooling and up to an average of 80 percent (by power) liquid-cooling at the data hall level. At the individual row level technical water loops shall be sized to support 100 percent (by power) of the electrical busway capacity.</t>
  </si>
  <si>
    <t>Infrastructure to support up to 85% (by power) air-cooling and up to 80% (by power) liquid cooling at the data hall level will be provided as part of the Base Building scope of work.  Technical water loops sized to support 100% (by power) of the electrical busway capacity for each row will be provided as part of Tenant Fit-Out (TFO) scope of work.</t>
  </si>
  <si>
    <t xml:space="preserve">Noted that this has been agreed with the leasing team. </t>
  </si>
  <si>
    <t>Digital Realty response changed to "Comply".  Back-of-house infrastructure will be paid for by Digital Realty as part of Base Build.  Technical water loops will be paid for by Meta as part of TFO NRCs.</t>
  </si>
  <si>
    <t>Deviate: infrastructure shall be 85% (by power) air-cooling and 80% (by power) liquid cooling at the data hall level. At the individual row level technical water loops shall be sized to support 100 percent (by power) of the electrical busway capacity.</t>
  </si>
  <si>
    <t>§C.2</t>
  </si>
  <si>
    <t>Data Hall (Megapod)/Network Rooms: Front end network suites to be 100 percent (by power) air cooled day 1. Liquid cooling requirements for Front end network suites can be a deferred scope including CDU’s and piping.</t>
  </si>
  <si>
    <t>Infrastructure to support up to 100% (by power) air-cooling at the data hall level will be provided for data halls designated as "Front End Network" data halls as part of the Base Building scope of work.  Liquid cooling infrastructure within the data halls, including piping, for data halls designated as "Front End Network" data halls will be provided as part of Tenant Fit-Out (TFO) scope of work.</t>
  </si>
  <si>
    <t>Not a deviation but the liquid cooling for the FE space can be deferred, is there any benefit to deferring it or is it better to install now?</t>
  </si>
  <si>
    <t>Deviate: Front end network suites to be 100 percent (by power) air cooled day 1. Liquid cooling requirements for Front end network suites shall include tehcnical water loop piping day 1; CDUs shall be a deferred scope.</t>
  </si>
  <si>
    <t>§C.3</t>
  </si>
  <si>
    <t>Data Hall (Megapod)/Network Rooms: Any space noted as back end network suites shall mirror the data hall requirements.</t>
  </si>
  <si>
    <t>Same as above.</t>
  </si>
  <si>
    <t>§C.4</t>
  </si>
  <si>
    <t>Data Hall (Megapod)/Network Rooms: The 100 percent/80 percent air-cooling/liquid-cooling infrastructure refers to cooling distribution systems inside the data halls (megapods) and network suites. Note that cooling demand can vary in any combination of 0 to 100 percent air-cooling and 0 to 80 percent liquid-cooling.</t>
  </si>
  <si>
    <t>Same as item 9</t>
  </si>
  <si>
    <t>Comply: infrastructure shall be 85% (by power) air-cooling and 80% (by power) liquid cooling at the data hall level. At the individual row level technical water loops shall be sized to support 100 percent (by power) of the electrical busway capacity.</t>
  </si>
  <si>
    <t>§D.1.i</t>
  </si>
  <si>
    <t>Rack-level waterside requirements: Maximum 86°F [30°C] supply water temperature. Typical operating temperatures of 80°F [27°C].</t>
  </si>
  <si>
    <t>Technical cooling system (TCS) infrastructure within the data halls will be provided as part of Tenant Fit-Out (TFO) scope of work.  Waterside SLAs will be as stated in Exhibit H of the Lease.</t>
  </si>
  <si>
    <t>§D.1.ii</t>
  </si>
  <si>
    <t>Rack-level waterside requirements: 18°F ΔT [10°C ΔT] waterside rack ΔT.</t>
  </si>
  <si>
    <t>§D.1.iii</t>
  </si>
  <si>
    <t>Rack-level waterside requirements: Minimum 0.4 GPM / kW [1.5 LPM / kW] water flow rate.</t>
  </si>
  <si>
    <t>§D.1.iv</t>
  </si>
  <si>
    <t>Rack-level waterside requirements: 40 PSI ΔP [241-276 kPa ΔP] pressure drop across the rack.</t>
  </si>
  <si>
    <t>§D.1.v</t>
  </si>
  <si>
    <t>Rack-level waterside requirements: The technical water loop header needs to be sized to align with electrical distribution capacity for that row. I.e. The technical water loop needs to be sized to assume 100% of the server capacity in the row is water cooled.</t>
  </si>
  <si>
    <t>§D.1.vi</t>
  </si>
  <si>
    <t>Rack-level waterside requirements: 1-¼” drops at each rack position. Elevations and positions of drops to align with layouts drawings (provided as part of BoD Documents)</t>
  </si>
  <si>
    <t>Technical cooling system (TCS) infrastructure within the data halls will be provided as part of Tenant Fit-Out (TFO) scope of work.</t>
  </si>
  <si>
    <t>§D.1.vii</t>
  </si>
  <si>
    <t>Rack-level waterside requirements: Quick connects to be BSPP thread. Approved vendors: Parker, CEJN, Safeway</t>
  </si>
  <si>
    <t>§D.1.viii</t>
  </si>
  <si>
    <t>Rack-level waterside requirements: Additional 3” drops at rack positions as shown in the diagram below for rows of up to 30 servers. For rows greater than 30 servers need to agree 3” drop locations with Meta on a case by case basis.</t>
  </si>
  <si>
    <t>§D.1.ix</t>
  </si>
  <si>
    <t>Rack-level waterside requirements: PG25 for the TW loop to be Dowfrost LC25.</t>
  </si>
  <si>
    <t>§D.1.x.a</t>
  </si>
  <si>
    <t>Rack-level waterside requirements, Cleanliness: Fill flush and treatment of TW loop shall meet Dow requirements for Dow LC25. Sample of water from the TW loop once construction is complete shall be sent to Dow for approval.</t>
  </si>
  <si>
    <t>§D.1.x.b</t>
  </si>
  <si>
    <t>Rack-level waterside requirements, Cleanliness: Landlord must guarantee that no solids greater than 25 micron in size shall pass through any of the liquid cooled servers.</t>
  </si>
  <si>
    <t>§D.2.i</t>
  </si>
  <si>
    <t>Rack-level airside requirements: 65°F-85°F [18.3°C-29.4°C] supply air temperature.</t>
  </si>
  <si>
    <t>Airside SLAs will be as stated in Exhibit H of the Lease.</t>
  </si>
  <si>
    <t>§D.2.ii</t>
  </si>
  <si>
    <t>Rack-level airside requirements: 20%-80% supply air relative humidity, non-condensing.</t>
  </si>
  <si>
    <t>§D.2.iii</t>
  </si>
  <si>
    <t>Rack-level airside requirements: 22°F ΔT [12.2°C ΔT] airside rack ΔT.</t>
  </si>
  <si>
    <t>Airside SLAs will be as stated in Exhibit H of the Lease. Base Building design is 23°F ΔT.</t>
  </si>
  <si>
    <t xml:space="preserve">Confirm what the impact would be of changing this to be 22F DT. ROM cost or schedule impact. </t>
  </si>
  <si>
    <r>
      <t xml:space="preserve">Clarification needed from Meta:  Exhibit H SLAs state 23°F ΔT, PDC requirements state 22°F </t>
    </r>
    <r>
      <rPr>
        <sz val="12"/>
        <color rgb="FF0000FF"/>
        <rFont val="Arial"/>
        <family val="2"/>
      </rPr>
      <t>Δ</t>
    </r>
    <r>
      <rPr>
        <sz val="12"/>
        <color rgb="FF0000FF"/>
        <rFont val="Times New Roman"/>
        <family val="1"/>
      </rPr>
      <t>T.  Which is correct?</t>
    </r>
  </si>
  <si>
    <t>Deviate: Exhibit H SLA = 23°F ΔT</t>
  </si>
  <si>
    <t>§D.2.iv</t>
  </si>
  <si>
    <t>Rack-level airside requirements: 0.158 CFM / W [0.075 CMS / W] air flow rate.</t>
  </si>
  <si>
    <t>Airside SLAs will be as stated in Exhibit H of the Lease. Base Building design is 147 cfm/kW.</t>
  </si>
  <si>
    <t xml:space="preserve">Related to item above. </t>
  </si>
  <si>
    <t>Clarification needed from Meta:  Exhibit H SLAs state 147 CFM/kW, PDC requirements state 158 cfm/kW.  Which is correct?</t>
  </si>
  <si>
    <t>Deviate: Exhibit H SLA = 147 CFM/kW</t>
  </si>
  <si>
    <t>§D.2.v</t>
  </si>
  <si>
    <t>Rack-level airside requirements: MERV 8 Recirculation Filters, MERV 13 OSA Filters</t>
  </si>
  <si>
    <t>§D.3.i</t>
  </si>
  <si>
    <t>Cooling distribution units (CDUs): Concurrently maintainable, feeding into a looped or manifold piping arrangement (or equivalent).</t>
  </si>
  <si>
    <t>Waterside SLAs will be as stated in Exhibit H of the Lease.</t>
  </si>
  <si>
    <t>§D.3.ii</t>
  </si>
  <si>
    <t>Cooling distribution units (CDUs): UPS support for CDU’s is required. UPS time duration to match server shutdown time. This shall be 90 seconds or as required through discussions with the Meta server hardware team.</t>
  </si>
  <si>
    <t>Deviate</t>
  </si>
  <si>
    <t>Waterside SLAs will be as stated in Exhibit H of the Lease.  Mechanical UPS sizing and ride-through time are as required for Generator restart duration.</t>
  </si>
  <si>
    <t>CDU UPS must be 5 minute minimum.</t>
  </si>
  <si>
    <t>Clarification needed from Meta:  Requirement states 90-second UPS ride-through time, Meta Response comment states 5-minute UPS ride-through time.  Which is correct?</t>
  </si>
  <si>
    <t>Comply: defined by Exhibit H SLA</t>
  </si>
  <si>
    <t>§D.4</t>
  </si>
  <si>
    <t>Liquid cooling infrastructure inside data halls and network rooms to independently support cooling failure domain, so that cooling failure does not impact more than one failure domain unless otherwise agreed with Meta. Landlords shall provide Meta alternative liquid cooling fault domain schemes with cost and schedule impacts for review.</t>
  </si>
  <si>
    <t>Each data hall has a dedicated cooling infrastructure such that any data hall level cooling failure does not affect any other data hall.</t>
  </si>
  <si>
    <t>Architectural</t>
  </si>
  <si>
    <t>§A.1.i.a</t>
  </si>
  <si>
    <t>Programming &amp; Circulation, Admin Office space: The first building on the campus will be the main building and need desk space for 35 employees.</t>
  </si>
  <si>
    <t>Office/Storage Space area will be as stated in Section 1.3.(a) of the Lease and in locations as depicted in Exhibit B of the Lease.  Office space construction, demising, fit-out, and furnishing will be provided as part of Tenant Fit-Out (TFO) scope of work.</t>
  </si>
  <si>
    <t>§A.1.i.b</t>
  </si>
  <si>
    <t>Programming &amp; Circulation, Admin Office space: All subsequent buildings on the campus will require desk space for 20 employees.</t>
  </si>
  <si>
    <t>§A.1.i.c</t>
  </si>
  <si>
    <t>Programming &amp; Circulation, Admin Office space: See “Open Office” in Meta Data Center Space Standards for configuration requirements.</t>
  </si>
  <si>
    <t>Office/Storage Space area will be as stated in Section 1.3.(a) of the Lease and in locations as depicted in Exhibit B of the Lease.  Office space construction, demising, fit-out, and furnishing will be provided as part of Tenant Fit-Out (TFO) scope of work.  Compliance with, deviation from, or exception to Office/Storage Space configurations requirements per the "Open Office" section(s) of the Meta "Data Center Space Standards (DCSS)" document requirements will be determined as part of Tenant Fit-Out (TFO) scope of work.</t>
  </si>
  <si>
    <t>§A.2.i</t>
  </si>
  <si>
    <t>Programming &amp; Circulation, Corridors and Pathway: Network Suites and Data Halls shall have an identified path of travel from the loading dock in which all building elements along the path can support the movement of Meta specified server racks and robotic tugs (Autonomour Guided Vehicles, or “AGV”) .  Wall mounted objects (fire extinguishers, AEDs, etc) must be clear of the AGV path.</t>
  </si>
  <si>
    <t>A designated path-of-travel from the loading dock to the network suites and data halls will be established.  Corridor width along the path-of-travel will be 8'-0" or greater.  Doorway openings along the path-of-travel will be 6'-0" or greater.  Certain wall mounted objects (fire extinguishers, AEDs, etc.) may protrude into the corridor and doors may swing out into the corridor.</t>
  </si>
  <si>
    <t>Not accepted. Doorways along path of rack moves must be 8' wide by 9' high min.</t>
  </si>
  <si>
    <t>Digital Realty will need to evaluate if it is possible to incease doorways along the path-of-travel to 8'-0" wide.</t>
  </si>
  <si>
    <t>§A.2.ii.a</t>
  </si>
  <si>
    <t>Programming &amp; Circulation, Corridors and Pathway, Typical Corridor Width: Wall mounted objects (fire extinguishers, AEDs, etc) must be clear of the AGV path.</t>
  </si>
  <si>
    <r>
      <t xml:space="preserve">Wall mounted objects (fire extinguishers, AEDs, etc.) </t>
    </r>
    <r>
      <rPr>
        <b/>
        <sz val="12"/>
        <color rgb="FFFF0000"/>
        <rFont val="Times New Roman"/>
        <family val="1"/>
      </rPr>
      <t xml:space="preserve">will be installed in flush-mounted enclosures </t>
    </r>
    <r>
      <rPr>
        <strike/>
        <sz val="12"/>
        <color rgb="FFFF0000"/>
        <rFont val="Times New Roman"/>
        <family val="1"/>
      </rPr>
      <t>may protrude into the corridor</t>
    </r>
    <r>
      <rPr>
        <sz val="12"/>
        <color theme="1"/>
        <rFont val="Times New Roman"/>
        <family val="1"/>
      </rPr>
      <t>.</t>
    </r>
  </si>
  <si>
    <t>Will these objected be outside of the 8' clear zone? If so, ok. If they protrude into the 8' zone then not accepted.</t>
  </si>
  <si>
    <t>Digital Realty response changed to "Comply".  Corridor and pathway wall mounted objects shall be installed in flush mounted enclosures. Item will be paid for by Digital Realty as part of Base Build.</t>
  </si>
  <si>
    <t>§A.2.ii.b</t>
  </si>
  <si>
    <t>Programming &amp; Circulation, Corridors and Pathway, Typical Corridor Width: Where possible, wall mounted objects should be consolidated on one side of the hallway.</t>
  </si>
  <si>
    <r>
      <t xml:space="preserve">Wall mounted objects will be present on both sides of the corridor </t>
    </r>
    <r>
      <rPr>
        <b/>
        <sz val="12"/>
        <color rgb="FFFF0000"/>
        <rFont val="Times New Roman"/>
        <family val="1"/>
      </rPr>
      <t>and will be installed in flush-mounted enclosures</t>
    </r>
    <r>
      <rPr>
        <sz val="12"/>
        <color theme="1"/>
        <rFont val="Times New Roman"/>
        <family val="1"/>
      </rPr>
      <t>.</t>
    </r>
  </si>
  <si>
    <t>§A.2.ii.c</t>
  </si>
  <si>
    <t>Programming &amp; Circulation, Corridors and Pathway, Typical Corridor Width: Should be clear of temporary obstructions (door swings into corridors, temporary laydown storage, etc.).</t>
  </si>
  <si>
    <t>Doors will swing out into the corridors.</t>
  </si>
  <si>
    <t xml:space="preserve">Ok. Safety signage will need to added in the area of door swing zone. </t>
  </si>
  <si>
    <t>Digital Realty confirms that we comply and that no changes are required.  Item will be paid for by Digital Realty as part of the Base Build.</t>
  </si>
  <si>
    <t xml:space="preserve">Exception: safety signage will be added to doors swinging into corridors </t>
  </si>
  <si>
    <t>§A.2.ii.d</t>
  </si>
  <si>
    <t>Programming &amp; Circulation, Corridors and Pathway, Typical Corridor Width: If the corridor clear width is temporarily obstructed, operations must ensure an 8’-0” clear corridor during rack movements.</t>
  </si>
  <si>
    <t>It is the responsibility of Tenant and Tenant's operations team to ensure clear corridors and adequate clearances prior to and during rack movements.  Tenant is solely responsible for all rack movements, the safety thereof, and the proper and safe use of automatic guided vehicles (AGVs).</t>
  </si>
  <si>
    <t>Agree</t>
  </si>
  <si>
    <t>Digital Realty confirms its exception and that no changes are required.</t>
  </si>
  <si>
    <t>Exception: temporary obstructions are the Tenant's responsibility</t>
  </si>
  <si>
    <t>§A.2.ii.e</t>
  </si>
  <si>
    <t>Programming &amp; Circulation, Corridors and Pathway, Typical Corridor Width: If doors swing into the corridor, the corridor should be widened to allow for 8’-0” clear with the door open.</t>
  </si>
  <si>
    <t>Corridor widths are as detailed and shown in the Landlord's architectural drawings, plans, and specifications.  Corridor widths are fixed and cannot be widened.</t>
  </si>
  <si>
    <t>§A.2.iii</t>
  </si>
  <si>
    <t>Programming &amp; Circulation, Corridors and Pathway, AGV Types</t>
  </si>
  <si>
    <t>Exception: AGV operations are the Tenant's responsibility</t>
  </si>
  <si>
    <t>§A.2.iv.a</t>
  </si>
  <si>
    <t>Freight Elevators: Located Centrally to IT Equipment Rooms and Loading Dock as possible.</t>
  </si>
  <si>
    <t>Freight elevator locations are as detailed and shown in the Landlord's architectural drawings, plans, and specifications.  Freight elevator locations are fixed and cannot be moved.</t>
  </si>
  <si>
    <t>Digital Realty confirms its deviation and that no changes are required.</t>
  </si>
  <si>
    <t>Deviate: Freight elevator locations are as detailed and shown in the Landlord's architectural drawings, plans, and specifications.</t>
  </si>
  <si>
    <t>§A.2.iv.b</t>
  </si>
  <si>
    <t>Freight Elevators: Minimum of two per building; three is preferred</t>
  </si>
  <si>
    <t>The building has two (2) freight elevators.</t>
  </si>
  <si>
    <t>§A.2.iv.c</t>
  </si>
  <si>
    <t>Freight Elevators: 15,000lbs. Weight capacity</t>
  </si>
  <si>
    <t>Freight elevator weight capacity is 12,000 lbs.</t>
  </si>
  <si>
    <t>Accepted. Confirm elevator is C rated.</t>
  </si>
  <si>
    <t>Digital Realty to confirm</t>
  </si>
  <si>
    <t>Deviate: Freight elevator weight capacity is 12,000 lbs and C-rated</t>
  </si>
  <si>
    <t>§A.2.iv.d</t>
  </si>
  <si>
    <t>Freight Elevators: 9’ Minimum door height and 7’-3” opening width</t>
  </si>
  <si>
    <t>No response received from Meta.  Digital Realty confirms that we comply and that no changes are required.  Item will be paid for by Digital Realty as part of the Base Build.</t>
  </si>
  <si>
    <t>§A.2.iv.e</t>
  </si>
  <si>
    <t>Freight Elevators: Interior cab dimensions min: 8’-4” width x 20-’10” depth and 9’-6” height.</t>
  </si>
  <si>
    <t>Freight elevator cab depth is 9'-6" width x 10'-6" depth x 10'-0" height</t>
  </si>
  <si>
    <t>Digital Realty confirms its deviation and that no changes are required.  Item will be paid for by Digital Realty as part of the Base Build.</t>
  </si>
  <si>
    <t>Deviate: Freight elevator cab depth is 9'-6" width x 10'-6" depth x 10'-0" height</t>
  </si>
  <si>
    <t>§A.2.iv.f</t>
  </si>
  <si>
    <t>Freight Elevators: Provide wall-mirrors around elevators as a safety measure due to heavy PIV/pedestrian traffic and blind corners</t>
  </si>
  <si>
    <t>Wall mirrors can be provided as part of Tenant Fit-Out (TFO) scope of work.</t>
  </si>
  <si>
    <t>Why is this called out as a deviation?</t>
  </si>
  <si>
    <t>Audio Visual: Office Spaces should follow Meta’s current AV Standard Designs. See Meta Data Center Space Standards. Refer to Standards Hub for information on lease programming in section 3a.</t>
  </si>
  <si>
    <t>Audio visual items will be provided as part of Tenant Fit-Out (TFO) scope of work.</t>
  </si>
  <si>
    <t>§B.1.i</t>
  </si>
  <si>
    <t>Audio Visual: One Training room allowed per campus, no Multipurpose rooms are scoped for Meta lease campuses.</t>
  </si>
  <si>
    <t>Training room(s), multiple purpose room(s) and the associated audio visual items will be provided as part of Tenant Fit-Out (TFO) scope of work, space permitting.</t>
  </si>
  <si>
    <t>§B.1.ii</t>
  </si>
  <si>
    <t>Audio Visual: One Meet Up space with either a single monitor @ 86” or three monitors @ 55” allowed per campus. In the event of multiple Meet up spaces within campus, The AV setup will only support procurement for one AV set up per campus.</t>
  </si>
  <si>
    <t>Meet Up space(s) and the associated audio visual items will be provided as part of Tenant Fit-Out (TFO) scope of work, space permitting.</t>
  </si>
  <si>
    <t>§B.1.iii.a</t>
  </si>
  <si>
    <t>Audio Visual: Two wall-mounted monitors per set @ 55” in the Shipping &amp; Receiving office (none in Loading Dock area) for AV dashboards</t>
  </si>
  <si>
    <t>Shipping &amp; Receiving office(s) and the associated audio visual items will be provided as part of Tenant Fit-Out (TFO) scope of work, space permitting.</t>
  </si>
  <si>
    <t>§B.1.iii.b</t>
  </si>
  <si>
    <t>Audio Visual: EE service desk/helpdesk, IT vending machine, IT smart lockers, IT storage spaces</t>
  </si>
  <si>
    <t>EE service desk(s)/helpdesk(s), IT vending machine(s), IT smart lockers, IT storage spaces and the associated audio visual items will be provided as part of Tenant Fit-Out (TFO) scope of work, space permitting.</t>
  </si>
  <si>
    <t>Room Numbering: All Meta dedicated rooms shall adhere to Meta Room Naming and Numbering Standards.</t>
  </si>
  <si>
    <r>
      <rPr>
        <b/>
        <sz val="12"/>
        <color rgb="FFFF0000"/>
        <rFont val="Times New Roman"/>
        <family val="1"/>
      </rPr>
      <t>Dual room naming and numbering will be utilized, following both Landlord and Meta Room Naming and Numbering Standards.</t>
    </r>
    <r>
      <rPr>
        <sz val="12"/>
        <color rgb="FFFF0000"/>
        <rFont val="Times New Roman"/>
        <family val="1"/>
      </rPr>
      <t xml:space="preserve">  </t>
    </r>
    <r>
      <rPr>
        <strike/>
        <sz val="12"/>
        <color rgb="FFFF0000"/>
        <rFont val="Times New Roman"/>
        <family val="1"/>
      </rPr>
      <t>Room naming and numbering will be as detailed and shown in the Landlord's architectural drawings, plans, and specifications and will follow the Landlord's room naming and numbering standards. Adherance to Meta Room Naming and Numbering Standards will be determined as part of Tenant Fit-Out (TFO) scope of work.</t>
    </r>
  </si>
  <si>
    <t>Not accepted. Room naming for Meta occupied spaces will need to adhere to Meta standards.</t>
  </si>
  <si>
    <t>Room Numbering: If the landlord room numbering follows a different convention, both room numbers shall be provided on the drawings.</t>
  </si>
  <si>
    <t>Room Numbering: Room numbers shall follow the guidance in the Meta Data Center Design Room Naming Standards.</t>
  </si>
  <si>
    <t>Room Numbering: Ensure all spaces, including but not limited to the  landlord owned spaces, are numbered, including roof areas.</t>
  </si>
  <si>
    <t>§C.5</t>
  </si>
  <si>
    <t>Room Numbering: Meta-Owned MMR rooms, Point of Entry, Riser rooms, Admin IDF, and GS IDFs rooms shall follow the following standards.</t>
  </si>
  <si>
    <t>§C.5.i</t>
  </si>
  <si>
    <t>Room Numbering: Meta-Owned MMR rooms, Point of Entry, Riser rooms, Admin IDF, and GS IDFs rooms shall follow the following standards: Meta-Owned MMR rooms shall be named MOMMR followed by a two digit designator.  The MOMMR planned to route Path A/B (post 1) shall be MOMMR01 and the MOMMR planned to route Path C/D (post 2) shall be MOMMR02</t>
  </si>
  <si>
    <t>§C.5.ii</t>
  </si>
  <si>
    <t>Room Numbering: Meta-Owned MMR rooms, Point of Entry, Riser rooms, Admin IDF, and GS IDFs rooms shall follow the following standards: Point of Entry rooms shall be named POE followed by a two digit designator. POEs adjacent to MOMMRs shall share the same two digit designator as the MOMMR.</t>
  </si>
  <si>
    <t>§C.5.iii</t>
  </si>
  <si>
    <t>Room Numbering: Meta-Owned MMR rooms, Point of Entry, Riser rooms, Admin IDF, and GS IDFs rooms shall follow the following standards: Riser rooms shall be named RISER followed by a two digit designator.  If the riser is included in the same room as an MOMMR or IDF room than the room shall use the MOMMR or IDF naming convention.  The RISER planned to route Post 1 shall be named RISER01, and the RISER planned to route Post 2 shall be named RISER02.</t>
  </si>
  <si>
    <t>§C.5.iv</t>
  </si>
  <si>
    <t>Room Numbering: Meta-Owned MMR rooms, Point of Entry, Riser rooms, Admin IDF, and GS IDFs rooms shall follow the following standards: Admin IDF rooms shall be named ADMINIDF followed by a two digit designator.</t>
  </si>
  <si>
    <t>Room Numbering: Meta-Owned MMR rooms, Point of Entry, Riser rooms, Admin IDF, and GS IDFs rooms shall follow the following standards: General Service IDF rooms shall be named GSIDF followed by a two digit designator.</t>
  </si>
  <si>
    <t>§C.6</t>
  </si>
  <si>
    <t>Room Numbering: Ensure corridors are broken up as required to give each segment or turn a unique number.</t>
  </si>
  <si>
    <t>§D.1</t>
  </si>
  <si>
    <t>Room Signage: Room signage shall comply with all code and local AHJ requirements. Room signage shall contain both landlord and Meta room numbering if different than Meta standard for all Meta leased spaces.</t>
  </si>
  <si>
    <r>
      <t xml:space="preserve">Room signage will comply with all code and local AHJ requirements. </t>
    </r>
    <r>
      <rPr>
        <b/>
        <sz val="12"/>
        <color rgb="FFFF0000"/>
        <rFont val="Times New Roman"/>
        <family val="1"/>
      </rPr>
      <t>Dual room naming and numbering will be utilized, following both Landlord and Meta Room Naming and Numbering Standards.</t>
    </r>
    <r>
      <rPr>
        <sz val="12"/>
        <color rgb="FFFF0000"/>
        <rFont val="Times New Roman"/>
        <family val="1"/>
      </rPr>
      <t xml:space="preserve">  </t>
    </r>
    <r>
      <rPr>
        <strike/>
        <sz val="12"/>
        <color rgb="FFFF0000"/>
        <rFont val="Times New Roman"/>
        <family val="1"/>
      </rPr>
      <t>Room naming and numbering will be as detailed and shown in the Landlord's architectural drawings, plans, and specifications and will follow the Landlord's room naming and numbering standards. Adherance to Meta Room Naming and Numbering Standards will be determined as part of Tenant Fit-Out (TFO) scope of work.and will be as detailed and shown in the Landlord's architectural drawings, plans, and specifications and will follow the Landlord's room naming and numbering standards. Secondary/dual room names and numbers which adhere to Meta Room Naming and Numbering Standards can be added as part of Tenant Fit-Out (TFO) scope of work.</t>
    </r>
  </si>
  <si>
    <t>§D.2</t>
  </si>
  <si>
    <t>Room Signage: META signage (placards) will only be used on all META occupied spaces and these additional landlord spaces:
i.   Electrical Rooms
ii.  UPS Rooms
iii. Mechanical Galleries
iv.  House UPS Rooms</t>
  </si>
  <si>
    <t>§E.1.i</t>
  </si>
  <si>
    <t>Building Opening &amp; Hardware, Door Hardware: Refer to Meta Data Center Requirements (2.1.3 Building Opening Planning &amp; Guidelines)</t>
  </si>
  <si>
    <t>Door hardware will be as detailed and shown in the Landlord's architectural drawings, plans, and specifications and will follow the Landlord's standards. Modifications to door hardware can be made as part of Tenant Fit-Out (TFO) scope of work, if feasible.</t>
  </si>
  <si>
    <t>Not accepted. Door hardware for Meta occupied space must adhere to Meta standards, and be in line with Meta security and robotics integration requirements.</t>
  </si>
  <si>
    <t>§E.1.ii</t>
  </si>
  <si>
    <t>Building Opening &amp; Hardware, Door Hardware: Refer to the GDSS document for access control requirements.  Meta security team to review for compliance with GDSS</t>
  </si>
  <si>
    <t>Access control will be as detailed and shown in the Landlord's security drawings, plans, and specifications and will follow the Landlord's standards. Modifications to access control can be made as part of Tenant Fit-Out (TFO) scope of work, if feasible.</t>
  </si>
  <si>
    <t>Not accepted. Security design must adhere to Meta requirements as outlined in the PDC.</t>
  </si>
  <si>
    <t>§E.2</t>
  </si>
  <si>
    <t>Building Opening &amp; Hardware: Where vision panels are called out in design standards for doors, vision panels shall only be provided in interior Meta spaces, no vision panels in shared spaces.</t>
  </si>
  <si>
    <t>Certain common area spaces, such as conference rooms, breakout rooms, and break rooms, have doors with vision panels or glass doors and walls.</t>
  </si>
  <si>
    <t>Please further clarify deviation.</t>
  </si>
  <si>
    <t>§E.3.i</t>
  </si>
  <si>
    <t>Building Opening &amp; Hardware, Doors: All doors along the rack path shall receive automatic operator and security hardware.</t>
  </si>
  <si>
    <t>Doors along the rack path are manually operated and will be as detailed and shown in the Landlord's architectural drawings, plans, and specifications and will follow the Landlord's standards. Modifications to door operation and hardware can be made as part of Tenant Fit-Out (TFO) scope of work, if feasible.</t>
  </si>
  <si>
    <t>§E.3.ii</t>
  </si>
  <si>
    <t>Building Opening &amp; Hardware, Doors: Doors shall open the maximum extent possible and shall be double doors 8’-0” x 9'-0”.</t>
  </si>
  <si>
    <t>Double doors along the rack path are 6'-0" wide x 9'-0" high and will open to the maximum extent possible.</t>
  </si>
  <si>
    <t xml:space="preserve">Digital Realty to investigate. </t>
  </si>
  <si>
    <t>§E.3.ii.a</t>
  </si>
  <si>
    <t>Building Opening &amp; Hardware, Doors: Controlled double doors into equipment rooms required for movement of loaded racks from docks for installation in equipment areas with adequate clearance to safely maneuver by the robotic tugs.</t>
  </si>
  <si>
    <t>Doors along the rack path are manually operated and will be as detailed and shown in the Landlord's architectural drawings, plans, and specifications and will follow the Landlord's standards. Modifications to door operation and hardware can be made as part of Tenant Fit-Out (TFO) scope of work, if feasible. It is the responsibility of Tenant and Tenant's operations team to ensure clear corridors, adequate clearances, and proper door operation (opening) prior to and during rack movements.  Tenant is solely responsible for all rack movements, the safety thereof, and the proper and safe use of automatic guided vehicles (AGVs).</t>
  </si>
  <si>
    <t>§E.3.iii.a</t>
  </si>
  <si>
    <t>Building Opening &amp; Hardware, Doors, Door Hardware: Lock and latch sets, including electrified, to be heavy duty commercial mortise type </t>
  </si>
  <si>
    <t>§E.3.iii.b</t>
  </si>
  <si>
    <t>Building Opening &amp; Hardware, Doors, Door Hardware: Use electric strikes only on aluminum/glass entrance doors as a last resort</t>
  </si>
  <si>
    <t>§E.3.iii.c</t>
  </si>
  <si>
    <t>Building Opening &amp; Hardware, Doors, Door Hardware: Provide key override at each electric strike and electrified lock set </t>
  </si>
  <si>
    <t>§E.3.iii.d</t>
  </si>
  <si>
    <t>Building Opening &amp; Hardware, Doors, Door Hardware: Use push pad style exit devices where required to satisfy code or local jurisdiction requirements </t>
  </si>
  <si>
    <t>§E.3.iii.e</t>
  </si>
  <si>
    <t>Building Opening &amp; Hardware, Doors, Door Hardware: All lock cylinders shall be MEDECO High Security </t>
  </si>
  <si>
    <t>Door hardware and lock cylinders will be as detailed and shown in the Landlord's architectural drawings, plans, and specifications and will follow the Landlord's standards. Modifications to door hardware and lock cylinders can be made as part of Tenant Fit-Out (TFO) scope of work, if feasible.</t>
  </si>
  <si>
    <t>§E.3.iii.f</t>
  </si>
  <si>
    <t>Building Opening &amp; Hardware, Doors, Door Hardware: Lever sets: heavy-duty mortise hardware</t>
  </si>
  <si>
    <t>§E.3.iii.g</t>
  </si>
  <si>
    <t>Building Opening &amp; Hardware, Doors, Door Hardware: Hinges: stainless steel heavy duty mortised butt-hinges in accordance with manufacturer’s recommendations at swing doors </t>
  </si>
  <si>
    <t>§E.3.iii.h</t>
  </si>
  <si>
    <t>Building Opening &amp; Hardware, Doors, Door Hardware: Hinges to be tamper-resistant (NRP) throughout </t>
  </si>
  <si>
    <t>§E.3.iii.i</t>
  </si>
  <si>
    <t>Building Opening &amp; Hardware, Doors, Door Hardware: Flush bolts/coordinators on all pairs with an inactive leaf</t>
  </si>
  <si>
    <t>§E.3.iii.j</t>
  </si>
  <si>
    <t>Building Opening &amp; Hardware, Doors, Door Hardware: Closers: heavy duty hydraulic</t>
  </si>
  <si>
    <t>§E.3.iii.k</t>
  </si>
  <si>
    <t>Building Opening &amp; Hardware, Doors, Door Hardware: Provide seals for weather tightness and sound dampening</t>
  </si>
  <si>
    <t>§E.3.iii.l</t>
  </si>
  <si>
    <t>Building Opening &amp; Hardware, Doors, Door Hardware: Panic hardware: as required by code and at electrical rooms </t>
  </si>
  <si>
    <t>Panic hardware will be provided and installed as required by code. Door hardware will be as detailed and shown in the Landlord's architectural drawings, plans, and specifications and will follow the Landlord's standards. Modifications to door hardware can be made as part of Tenant Fit-Out (TFO) scope of work, if feasible.</t>
  </si>
  <si>
    <t>§E.3.iii.m</t>
  </si>
  <si>
    <t>Building Opening &amp; Hardware, Doors, Door Hardware: All doors to receive REX unless otherwise indicated </t>
  </si>
  <si>
    <t>Door functionality allows for free egress at all times. Modifications to door functionality can be made as part of Tenant Fit-Out (TFO) scope of work, if feasible.</t>
  </si>
  <si>
    <t>§E.3.iii.n</t>
  </si>
  <si>
    <t>Building Opening &amp; Hardware, Doors, Door Hardware: EOR responsibility to ensure all hardware is fully compatible with the door manufacturer and meets all building codes</t>
  </si>
  <si>
    <t>§F</t>
  </si>
  <si>
    <r>
      <t xml:space="preserve">Meta Lighting Requirements: </t>
    </r>
    <r>
      <rPr>
        <i/>
        <sz val="12"/>
        <color theme="1"/>
        <rFont val="Times New Roman"/>
        <family val="1"/>
      </rPr>
      <t>Includes table listing (19) space types and their associated illimination requirements.</t>
    </r>
  </si>
  <si>
    <t>Base Build (part), TFO (part)</t>
  </si>
  <si>
    <t>Landlord is providing a baseline lighting design for all spaces as of the Effective Date of the Lease.  Moves, adds, changes, or reconfigurations to Landlord's baseline lighting layout and design,  including coordination with Tenant's rack &amp; row layouts and with other overhead services to meet Tenant illumination requirements will be provided as part of Tenant Fit-Out (TFO) scope of work. All lighting for Tenant leased Office Space, Storage Space, and Ancillary Space(s) to meet Tenant illumination requirements will be provided as part of Tenant Fit-Out (TFO) scope of work.</t>
  </si>
  <si>
    <t>Digital Realty confirms its deviation response and that no changes are required.  Any modifications to Landlord's baseline lighting package will be paid for by Meta as part of TFO NRCs.</t>
  </si>
  <si>
    <t>§G.1</t>
  </si>
  <si>
    <t>Interior Construction &amp; Materials: Interior partitions shall receive code required fire and smoke wall ratings in addition to minimum 1-hour fire and smoke rated construction between the computer equipment rooms and office areas, between computer equipment rooms and electrical rooms, and around MPOE/BDF rooms, except where greater rating is required by code.</t>
  </si>
  <si>
    <t>Interior partitions are as detailed and shown in the Landlord's architectural drawings, plans, and specifications.  Changes or reconfigurations, including changes in fire ratings, to interior partitions will be provided as part of Tenant Fit-Out (TFO) scope of work, if feasible. All partitions for Tenant leased Office Space, Storage Space, and Ancillary Space(s) will be provided as part of Tenant Fit-Out (TFO) scope of work.</t>
  </si>
  <si>
    <t>Digital Realty confirms its deviation response and that no changes are required.  Any modifications to Landlord's baseline construction package will be paid for by Meta as part of TFO NRCs.</t>
  </si>
  <si>
    <t>§G.1.i</t>
  </si>
  <si>
    <t>Interior Construction &amp; Materials: See Meta Data Center Requirements for Acoustic Guidelines (2.1.5 Building Acoustic Guidelines)</t>
  </si>
  <si>
    <t>Materials and acoustic properties are as detailed and shown in the Landlord's architectural drawings, plans, specifications, and basis of design.  Changes in materials, acoustic properties, or compliance with Meta "Data Center Requirements for Acoustic Guidelines (2.1.5 Building Acoustic Guidelines)" will be provided as part of Tenant Fit-Out (TFO) scope of work, if feasible. All materials, acoustic properties, and compliance with Meta "Data Center Requirements for Acoustic Guidelines (2.1.5 Building Acoustic Guidelines)" for Tenant leased Office Space, Storage Space, and Ancillary Space(s) will be provided as part of Tenant Fit-Out (TFO) scope of work.</t>
  </si>
  <si>
    <t>§G.2.i</t>
  </si>
  <si>
    <t>Interior Construction &amp; Materials, Ceiling: A structural ceiling system shall be provided in all data halls and network rooms meeting the loading requirements.  The strut ceiling grid shall be braced to control sway from interior air flow and floats around the perimeter to avoid transferring forces into interior or exterior partitions.</t>
  </si>
  <si>
    <t>Base building Structural Ceiling Grid to be provided. Meta required hanging loads to be analyzed and modified as required as part of the Tenant Fit-Out (TFO) scope of work.</t>
  </si>
  <si>
    <t>Digital Realty confirms its deviation response and that no changes are required.  Any modifications to Landlord's baseline structural ceiling grid will be paid for by Meta as part of TFO NRCs.</t>
  </si>
  <si>
    <t>§G.2.ii</t>
  </si>
  <si>
    <t>Interior Construction &amp; Materials, Ceiling: All areas containing food service (FS) equipment must have a finished ceiling installed overhead</t>
  </si>
  <si>
    <t>Food services design, build-out, and construction administration services will not be provided by Landlord.</t>
  </si>
  <si>
    <t>§G.3</t>
  </si>
  <si>
    <t>Interior Construction &amp; Materials: Hot Aisle Containment shall allow for racks up to 8’-0” in height.  Ensure airflow is blocked in the gap between racks and bottom of containment while allowing containment to move up and down slightly.  Infill panels shall be provided for 10% of rack positions.</t>
  </si>
  <si>
    <t>Hot aisle containment (HAC) will be provided as part of Tenant Fit-Out (TFO) scope of work.</t>
  </si>
  <si>
    <t>§G.4</t>
  </si>
  <si>
    <t>Interior Construction &amp; Materials: Review flatness &amp; weight capacity criteria for robotics &amp; servers with Meta</t>
  </si>
  <si>
    <t>Flatness and floor loading capacity will be as detailed and shown in the Landlord's structural drawings, plans, specifications, and basis of design.</t>
  </si>
  <si>
    <t>§G.5</t>
  </si>
  <si>
    <t>Interior Construction &amp; Materials: Ceilings - No Meta-specific loading criteria. Design and construct in accordance with applicable local building codes, regulations, and industry standards.</t>
  </si>
  <si>
    <t>§H.1</t>
  </si>
  <si>
    <t xml:space="preserve">Furniture: All Furniture in Meta spaces is OFOI. AV scope must be closely coordinated with the  Meta Furniture team for conference room integration. </t>
  </si>
  <si>
    <t>All furniture and AV items will be provided as part of Tenant Fit-Out (TFO) scope of work.</t>
  </si>
  <si>
    <t>No response received from Meta. Digital Realty confirms that we comply and that no changes are required.  Item will be paid for by Meta as part of the TFO.</t>
  </si>
  <si>
    <t>HAC Design</t>
  </si>
  <si>
    <t>§I.1</t>
  </si>
  <si>
    <t>Rack Height Accommodation and Airflow: Hot Aisle Containment shall allow for racks up to 8'-0" in height.</t>
  </si>
  <si>
    <t>§I.2</t>
  </si>
  <si>
    <t>Rack Height Accommodation and Airflow: Ensure airflow is blocked in the gap between racks and the bottom of containment while allowing containment to move up and down slightly.</t>
  </si>
  <si>
    <t>§I.3</t>
  </si>
  <si>
    <t>Rack Height Accommodation and Airflow: Where IT equipment is not installed, or is not of a consistent height, an adjustable blanking  panel(s) shall be provided to achieve a positive seal to mitigate air loss from the HAC.</t>
  </si>
  <si>
    <t>§I.3.i</t>
  </si>
  <si>
    <t>Rack Height Accommodation and Airflow: Sliding HAC panels shall be provided to access the cable pathways</t>
  </si>
  <si>
    <t>§J.1</t>
  </si>
  <si>
    <t>Aisle Layout and Clearance: Hot aisles: 6 feet with 5 feet clear</t>
  </si>
  <si>
    <t>Hot aisle width and clearances will be determined as part of Tenant Fit-Out (TFO) scope of work.</t>
  </si>
  <si>
    <t>§J.2</t>
  </si>
  <si>
    <t>Aisle Layout and Clearance: Cold aisles: 14 feet with 7 feet clear</t>
  </si>
  <si>
    <t>Cold aisle width and clearances will be determined as part of Tenant Fit-Out (TFO) scope of work.</t>
  </si>
  <si>
    <t>No response received from Meta.  Digital Realty confirms that we comply and that no changes are required.  Item will be paid for by Meta as part of the TFO</t>
  </si>
  <si>
    <t>§J.3</t>
  </si>
  <si>
    <t>Aisle Layout and Clearance: Ensure adequate clearance between HAC columns and adjacent racks to allow for easy maintenance and access</t>
  </si>
  <si>
    <t>Precise clearances between HAC columns and adjacent racks will be determined as part of Tenant Fit-Out (TFO) scope of work.</t>
  </si>
  <si>
    <t>§K.1</t>
  </si>
  <si>
    <t>HAC System Design and Interface: Connection, panel, and construction details of the containment interface should be designed to accommodate various rack heights within a row</t>
  </si>
  <si>
    <t>§K.2</t>
  </si>
  <si>
    <t>HAC System Design and Interface: The TORC system should be designed to accommodate different rack heights within a row</t>
  </si>
  <si>
    <t>§L.1</t>
  </si>
  <si>
    <t>Safety and Code Compliance: HAC systems should be designed to meet seismic design requirements to ensure stability and integrity during earthquakes</t>
  </si>
  <si>
    <t>Hot aisle containment (HAC) system will be designed and constructed to meet local seismic criteria and will be provided as part of Tenant Fit-Out (TFO) scope of work.</t>
  </si>
  <si>
    <t>§L.2</t>
  </si>
  <si>
    <t>Safety and Code Compliance: HAC systems should be constructed using fire-resistant materials to minimize the risk of fire spread</t>
  </si>
  <si>
    <t>§L.3</t>
  </si>
  <si>
    <t>Safety and Code Compliance: All necessary grounding between LV racks and equipment to be provided</t>
  </si>
  <si>
    <t>Grounding for LV racks, equipment, and hot aisle containment (HAC) will be provided as part of Tenant Fit-Out (TFO) scope of work.</t>
  </si>
  <si>
    <t>§M.1</t>
  </si>
  <si>
    <t>Labeling and Identification: Installing Row Position Labels in Production Rows and Row-End Labels denoting each row per design on both ends above HAC doors</t>
  </si>
  <si>
    <t>Row position labels, row end labels, and hot aisle containment (HAC) will be provided as part of Tenant Fit-Out (TFO) scope of work.</t>
  </si>
  <si>
    <t>Controls &amp; DCIM</t>
  </si>
  <si>
    <t xml:space="preserve">System Overview: The leased facility incorporates two distinct and independently managed networks: the  Landlord's operational network and Meta's dedicated Facilities Network (FacNet) </t>
  </si>
  <si>
    <t>Installation of Meta's dedicated Facilities Network (FacNet) will be provided as part of Tenant Fit-Out (TFO) scope of work.</t>
  </si>
  <si>
    <t xml:space="preserve">Landlord Owned Equipment: The control and monitoring of landlord mechanical and electrical equipment and the  corresponding Building Management System (BMS) / Electrical Power Monitoring  System (EPMS) shall be owned, operated and maintained by the Landlord. This should  be developed in the base build scope of work.  </t>
  </si>
  <si>
    <t>§B.2</t>
  </si>
  <si>
    <t>Landlord Owned Equipment: The landlord shall allow for Web access (READ – ONLY) to Meta users to access both the landlords BMS and EPMS.</t>
  </si>
  <si>
    <t>Access to Landlord's BMS and EPMS will be provided via web portal and via API(s).</t>
  </si>
  <si>
    <t>Ryan Young</t>
  </si>
  <si>
    <t>Meta FacNet and Data Center Infrastructure Management (DCIM): Integration with Meta's DCIM system will involve monitoring all specified electrical parameters to meet both Dynamo and line of demarcation requirements. Additionally, it will monitor critical environmental conditions within essential spaces to ensure compliance with Service Level Agreements (SLAs).</t>
  </si>
  <si>
    <t>Integration with Meta's DCIM system will be provided as part of Tenant Fit-Out (TFO) scope of work. Compliance with, deviation from, or exception to monitoring all specified electrical parameters to meet Dynamo and line of demarcation requirements will be determined as part of Tenant Fit-Out (TFO) scope of work.</t>
  </si>
  <si>
    <t>[BW] Acceptable to be determined at Tenant Fit Out</t>
  </si>
  <si>
    <t>Digital Realty confirms its response and that no changes are required.  Item will be paid for by Meta as part of TFO NRCs.</t>
  </si>
  <si>
    <t>§C.1.i</t>
  </si>
  <si>
    <t>Meta FacNet and Data Center Infrastructure Management (DCIM): Note: Dynamo is a real-time power monitoring and protection reliability system that protects Meta’s power distribution network from power overages, spikes, and unplanned power surges.</t>
  </si>
  <si>
    <t>Meta FacNet and Data Center Infrastructure Management (DCIM): Each DCIM monitoring point and alert must be thoroughly tested and verified through the DCIM tooling with Ignition.</t>
  </si>
  <si>
    <t>Integration with Meta's DCIM system will be provided as part of Tenant Fit-Out (TFO) scope of work. Compliance with, deviation from, or exception to Meta DCIM monitoring point and alerting testing and verification requirements will be determined as part of Tenant Fit-Out (TFO) scope of work.</t>
  </si>
  <si>
    <t>Meta FacNet and Data Center Infrastructure Management (DCIM): DCIM integration point naming must align with DCIM naming standards
(BMS-PLAN-348 – FDM Playbook Rev 1.0).</t>
  </si>
  <si>
    <t>DCIM integration point naming will be as detailed and shown in the Landlord's architectural drawings, plans, and specifications and will follow the Landlord's BMS and EPMS point naming and numbering standards. Compliance with, deviation from, or exception to dual naming, re-naming, or aligning with Meta DCIM naming standards per BMS-PLAN-348 - FDM Playbook Rev 1.0 will be determined as part of Tenant Fit-Out (TFO) scope of work.</t>
  </si>
  <si>
    <t>§C.3.i</t>
  </si>
  <si>
    <t>Meta FacNet and Data Center Infrastructure Management (DCIM): If LL equipment naming differs from DCIM integration point naming, label containing DCIM point name is to be provided on equipment being integrated.</t>
  </si>
  <si>
    <t>DCIM integration point naming will be as detailed and shown in the Landlord's architectural drawings, plans, and specifications and will follow the Landlord's BMS and EPMS point naming and numbering standards. Compliance with, deviation from, or exception to providing equipment labeling with DCIM, BMS, or EPMS point name will be determined as part of Tenant Fit-Out (TFO) scope of work.</t>
  </si>
  <si>
    <t>§C.4.i</t>
  </si>
  <si>
    <t>Electrical Monitoring - DCIM: Meta dedciated Power Quality Meters (PQM's) for Landlord owned MSB's.</t>
  </si>
  <si>
    <t>Meta dedicated PQM's and associated enclosures, raceway, wiring, ancillary devices, and supporting items will be provided as part of Tenant Fit-Out (TFO) scope of work.</t>
  </si>
  <si>
    <t>§C.4.i.a</t>
  </si>
  <si>
    <t>Electrical Monitoring - DCIM: Separate meter enclosure shall be furnished with a monitored tamper switch.</t>
  </si>
  <si>
    <t>§C.4.i.b</t>
  </si>
  <si>
    <t>Electrical Monitoring - DCIM: PQM to be wired (Modbus RS485) to a Meta dedicated gateway panel located within Meta space.</t>
  </si>
  <si>
    <t>§C.4.i.c</t>
  </si>
  <si>
    <t>Electrical Monitoring - DCIM: Gateway panel shall connect directly via Modbus TCP/IP to Meta’s Facility Network (FacNet).</t>
  </si>
  <si>
    <t>§C.4.ii</t>
  </si>
  <si>
    <t>Electrical Monitoring - DCIM: Meta dedciated PQM for Landlord PDU (Power Distribution Unit) (or equivalent line of demarcation) with branch circuit monitoring for row level metering.</t>
  </si>
  <si>
    <t>§C.4.ii.a</t>
  </si>
  <si>
    <t>Electrical Monitoring - DCIM: PDU's will follow the same physical and network security requirements as MSB PQM (e.g., separate enclosure and wired to gateway panel) unless meter brick is located within Meta secure space, in which case it can connect direct to Meta’s facility network (FacNet).</t>
  </si>
  <si>
    <t>§C.4.ii.b</t>
  </si>
  <si>
    <t>Electrical Monitoring - DCIM: Modbus TCP/IP integration to Meta’s facility network (FacNet).</t>
  </si>
  <si>
    <t>Mechanical Monitoring - DCIM: Data Hall</t>
  </si>
  <si>
    <t>Meta dedicated mechanical monitoring sensors and associated housings, fittings, enclosures, raceway, wiring, ancillary devices, and supporting items will be provided as part of Tenant Fit-Out (TFO) scope of work.</t>
  </si>
  <si>
    <t>§C.5.i.a</t>
  </si>
  <si>
    <t>Mechanical Monitoring - DCIM: Temperature and Humidity monitoring for every cold aisle.</t>
  </si>
  <si>
    <t>§C.5.i.a.1</t>
  </si>
  <si>
    <t>Mechanical Monitoring - DCIM: Instruments to be provided with magnet backing and sufficient cable slack to allow placement at any rack position in the cold aisle.</t>
  </si>
  <si>
    <t>§C.5.i.b</t>
  </si>
  <si>
    <t>Mechanical Monitoring - DCIM: Devices to be wired (Modbus RS485) to a Meta gateway panel located centrally within the data hall.</t>
  </si>
  <si>
    <t>§C.5.i.c</t>
  </si>
  <si>
    <t>Mechanical Monitoring - DCIM: Gateway panel connects directly via Modbus TCP/IP to Meta’s Facility Network (FacNet).</t>
  </si>
  <si>
    <t>§C.5.i.d</t>
  </si>
  <si>
    <t>Mechanical Monitoring - DCIM: Alarm thresholds to be set within SLA requirements defined by lease agreement.</t>
  </si>
  <si>
    <t>Mechanical Monitoring - DCIM: Network Core Room/s</t>
  </si>
  <si>
    <t>§C.5.ii.a</t>
  </si>
  <si>
    <t>§C.5.ii.a.1</t>
  </si>
  <si>
    <t>§C.5.ii.b</t>
  </si>
  <si>
    <t>Mechanical Monitoring - DCIM: Devices to be wired (Modbus RS485) to a Meta gateway panel located centrally within the room.</t>
  </si>
  <si>
    <t>§C.5.ii.c</t>
  </si>
  <si>
    <t>§C.5.ii.d</t>
  </si>
  <si>
    <t>Mechanical Monitoring - DCIM: Technical Water</t>
  </si>
  <si>
    <t>§C.5.iii.a</t>
  </si>
  <si>
    <t>Mechanical Monitoring - DCIM: The following is to be monitored:</t>
  </si>
  <si>
    <t>§C.5.iii.a.1</t>
  </si>
  <si>
    <t>Mechanical Monitoring - DCIM: Supply Water Temperature</t>
  </si>
  <si>
    <t>Mechanical Monitoring - DCIM: Return Water Temperature</t>
  </si>
  <si>
    <t>Mechanical Monitoring - DCIM: Differential Pressure</t>
  </si>
  <si>
    <t>Mechanical Monitoring - DCIM: Flow Rate</t>
  </si>
  <si>
    <t>§C.5.iii.b</t>
  </si>
  <si>
    <t>§C.5.iii.c</t>
  </si>
  <si>
    <t>§C.5.iii.d</t>
  </si>
  <si>
    <t>Mechanical Monitoring - DCIM: Cooling Distribution Units (where applicable)</t>
  </si>
  <si>
    <t>§C.5.iv.a</t>
  </si>
  <si>
    <t>Mechanical Monitoring - DCIM: The CDUs shall be monitored and controlled (where applicable) by the landlords BMS.</t>
  </si>
  <si>
    <t>Comply (part); Deviation (part)</t>
  </si>
  <si>
    <t xml:space="preserve">Meta dedicated mechanical monitoring sensors and associated housings, fittings, enclosures, raceway, wiring, ancillary devices, and supporting items will be provided as part of Tenant Fit-Out (TFO) scope of work.  The Landlord BMS will monitor and report on CDU operation; however, CDU control will be via separate controllers and control network (top-level Landlord BMS is 'observe and report' only). </t>
  </si>
  <si>
    <t>[BW] Please confirm control of CDU is done by the landlord regardless if it's a separate controller and/or network. Meta will not be controlling the CDUs.</t>
  </si>
  <si>
    <t>Confirmed, Digital Realty will operate the CDUs.  Digital Realty confirms our response and that no changes are required.  Item will be paid for by Meta as part of the TFO</t>
  </si>
  <si>
    <t>§C.6.i</t>
  </si>
  <si>
    <t>Meta FacNet Security: Meta requires that all products, equipment, systems, components, and subcomponents comply with strict network compatibility and security requirements. Devices must be reviewed and approved by submitting Exhibit L, which includes detailed compliance forms such as the Product Compliance Form, Communications System Compliance Form, Component Compliance Form, and supporting documentation like communication diagrams and product data sheets. This submission ensures that devices meet Meta's network and security standards before approval for use.</t>
  </si>
  <si>
    <t>Landlord will submit Exhibit L forms as required for Meta's review and approval.  Submission of the Exhibit L forms and compliance with, deviation from, or exception to Meta's requirements will be determined as part of Tenant Fit-Out (TFO) scope of work.</t>
  </si>
  <si>
    <t>Security</t>
  </si>
  <si>
    <t>§A.a</t>
  </si>
  <si>
    <t>General: Physical security, including guard force, operational policies/procedures, access controls, badging, intrusion detection and video surveillance will be the primary responsibility of the Landlord, unless otherwise noted in the lease.</t>
  </si>
  <si>
    <t>No response received from Meta.  Digital Realty confirms that security is a Landlord responsibility and will be provided as part of the Base Build.  Compliance with, deviation from, or exception to specific requirements in the "Security" will be stated for each individual requirement.  Any modifications to Landlord's baseline security installations will be paid for by Meta as part of TFO NRCs.</t>
  </si>
  <si>
    <t>Jason Brunen</t>
  </si>
  <si>
    <t>§A.b</t>
  </si>
  <si>
    <t>General: All security requirements within this document, with the exception of those installed as part of the Meta fit out, are required at lease commencement. Any exceptions must be reviewed and approved by Meta.</t>
  </si>
  <si>
    <t>Compliance with, deviation from, or exception to any Meta Security requirements for each Program Design Criteria (PDC) section, subsection, or line item is as stated below.  Installation of equipment to support each PDC security requirement will correspond with that particular requirement's "comply" versus "deviation" versus "exception" status.</t>
  </si>
  <si>
    <t>No response received from Meta.  Digital Realty response changed to "Comply".  Digital Realty confirms that it will review security requirements with Meta.  Any modifications to Landlord's baseline security installations will be paid for by Meta as part of TFO NRCs.</t>
  </si>
  <si>
    <t>§A.c</t>
  </si>
  <si>
    <t>General: Security requirements that are part of the Meta Fit Out are required to be active before Meta Fit out completion.</t>
  </si>
  <si>
    <t>§B.a</t>
  </si>
  <si>
    <t>Compliance: The landlord shall comply with the latest ISO/IEC 27001 Information Technology -Security Techniques - Information Security Management Systems - Requirements.</t>
  </si>
  <si>
    <t>§B.b</t>
  </si>
  <si>
    <t>Compliance: The Landlord shall comply and provide evidence of compliance and certification on an annual basis.</t>
  </si>
  <si>
    <t>§B.c</t>
  </si>
  <si>
    <t>Compliance: The Landlord shall comply and provide evidence of compliance with the SOC2 Standards on an annual basis.</t>
  </si>
  <si>
    <t>The initial evidence of compliance (SOC2 report) will be provided once the facility has been in operation for one (1) full calendar year (e.g., if the facility is completed in October 2026, the initial SOC2 report will be for 2027 and will be provided in 2028).  Landlord can provide bridging letters as required by Tenant.</t>
  </si>
  <si>
    <t>§C.a</t>
  </si>
  <si>
    <t>Submittals: The Landlord shall provide project design drawings, specifications and commissioning reports to Meta for review and comment throughout the design and construction process to ensure compliance with the security requirements included in the Lease Agreement.</t>
  </si>
  <si>
    <t xml:space="preserve">Submittals for security related items for the Base Build scope-of-work will be provided by Landlord.  Submittals for security related items for the Tenant Fit-Out (TFO) scope-of-work will be provided as part of the Tenant Fit-Out (TFO) scope-of-work.  Landlord reserves the right to reasonably redact submittal information to the degree that it does not impact Meta's ability to evaluate for compliance to requirements. </t>
  </si>
  <si>
    <t>No response received from Meta.  Digital Realty confirms that we comply and that no changes are required.  Any modifications to Landlord's baseline security installations will be paid for by Meta as part of TFO NRCs.</t>
  </si>
  <si>
    <t>Dalton Rosenberger</t>
  </si>
  <si>
    <t>Coordination &amp; Inspections: Landlord shall communicate the following non-design &amp; design related information to Meta Security prior to the design kick off date:
i.  Team member roles &amp; responsibilities.
ii.  Paths of escalation.
iii.  Distribution Lists for drawing packages.
iv.  Security BoD (Basis of Design) or Building Security Narrative.
v.  List of Landlord approved security devices to be deployed (model/ part number, etc…)</t>
  </si>
  <si>
    <t xml:space="preserve">Information for security related items for the Base Build scope-of-work will be provided by Landlord.  Information for security related items for the Tenant Fit-Out (TFO) scope-of-work will be provided as part of the Tenant Fit-Out (TFO) scope-of-work.  Landlord reserves the right to reasonably redact submittal information to the degree that it does not impact Meta's ability to evaluate for compliance to requirements. </t>
  </si>
  <si>
    <t>§C.b</t>
  </si>
  <si>
    <t>Coordination &amp; Inspections: During design, Landlord shall ensure that all information communicated to Meta Security for general coordination (e.g., design drawings, specifications, security device selection &amp; installation/commissioning, construction schedules, supporting infrastructure, space hand-over dates, etc.) are based on the most recent version of the design to facilitate efficient coordination between Security, Meta’s design teams, and the landlord’s security designer.</t>
  </si>
  <si>
    <t>§C.c</t>
  </si>
  <si>
    <t>Coordination &amp; Inspections: If Meta fitout security designer differs from base build security designers, ensure coordination between security design occurs.</t>
  </si>
  <si>
    <t>§C.d</t>
  </si>
  <si>
    <t>Coordination &amp; Inspections: During construction, regular fortnightly coordination meetings beginning at least two months ahead of planned security go live dates, to coordinate site and space access, space lockdown and other items.</t>
  </si>
  <si>
    <t>§C.e</t>
  </si>
  <si>
    <t>Coordination &amp; Inspections: Meta Security requests to conduct a minimum of two site observations during construction to ensure scope is being executed correctly in accordance with the contract documents. These will generally occur prior to base-build security completion and Meta fit out security completion. Prior to the observations occurring, Meta Security will communicate the dates &amp; associated agendas for each walk at least 30 days prior to it occurring.</t>
  </si>
  <si>
    <t>Environmental Design and Construction: Telecommunications Vaults</t>
  </si>
  <si>
    <t>See comments to §D.a.i and §D.a.ii, below.</t>
  </si>
  <si>
    <t>§D.a.i</t>
  </si>
  <si>
    <t>Environmental Design and Construction: All telecommunication vaults, on data center property, shall be located within security perimeter fence line and physically secured by the landlord to prevent unauthorized access (e.g., lockable bolt, lockable cover, padlock)</t>
  </si>
  <si>
    <t>As part of the Base Build, Landlord has allowed for standard 8' x 10' telecommunications vaults which do not feature locking covers or instrusion detection.  Telecommunications vaults which are larger in size and feature locking covers and instrusion detection alarms can be provided as part of the Tenant Fit-Out (TFO) scope-of-work.</t>
  </si>
  <si>
    <t>§D.a.ii</t>
  </si>
  <si>
    <t>Environmental Design and Construction: Subject to Meta review and approval, telecommunication vaults located outside the secure perimeter, shall be locked and alarmed to detect intrusion.</t>
  </si>
  <si>
    <t>§D.b</t>
  </si>
  <si>
    <t>Environmental Design and Construction: Fence</t>
  </si>
  <si>
    <t>§D.b.i</t>
  </si>
  <si>
    <t>Environmental Design and Construction: A secure perimeter around the property shall be provided including a physical barrier to restrict access by pedestrians and vehicles (e.g., fence) and one or more secure entrances to provide vehicle and pedestrian access through the secure perimeter.</t>
  </si>
  <si>
    <t>§D.b.ii</t>
  </si>
  <si>
    <t xml:space="preserve">Environmental Design and Construction: The fence shall contain no person-passable openings, except those required for any secure entries, and reasonably restrict access by climbing by maintaining a minimum height above grade of 8 feet with an anti-climb topper. </t>
  </si>
  <si>
    <t>§D.b.iii</t>
  </si>
  <si>
    <t>§D.c</t>
  </si>
  <si>
    <t>Environmental Design and Construction: Site Entrance</t>
  </si>
  <si>
    <t>§D.c.i</t>
  </si>
  <si>
    <t>Environmental Design and Construction: Secure entries shall allow for verification of business need for all access by personnel, pedestrians or in vehicles prior to permitting access through the secure perimeter.</t>
  </si>
  <si>
    <t>Environmental Design and Construction: Secure entries shall utilize access control and video surveillance systems to document site access and provide a historic record for investigations.</t>
  </si>
  <si>
    <t>§D.d</t>
  </si>
  <si>
    <t>Environmental Design and Construction: Building Requirements</t>
  </si>
  <si>
    <t>§D.d.i</t>
  </si>
  <si>
    <t>Environmental Design and Construction: A continuous secure envelope around Meta’s Leased Space including walls, doors, and access points (including below raised floors and above drop ceilings) shall be provided.</t>
  </si>
  <si>
    <t>§D.d.ii</t>
  </si>
  <si>
    <t>Environmental Design and Construction: All Landlord equipment, support spaces, network infrastructure support spaces (e.g., MDF, BDF, etc.), and electrical infrastructure support space shall be physically separated from the Meta’s leased space.</t>
  </si>
  <si>
    <t>§D.d.iii</t>
  </si>
  <si>
    <t>Environmental Design and Construction: The Landlord shall provide secure cages within Meta space to separate General System Racks from Production Racks. Cage design shall be in accordance with Meta’s requirements.</t>
  </si>
  <si>
    <t>Secure cages within Meta spaces, if required, will be provided as part of the Tenant Fit-Out (TFO) scope-of-work.</t>
  </si>
  <si>
    <t>§D.d.iv</t>
  </si>
  <si>
    <t>Environmental Design and Construction: Meta’s Production Network gear which performs fabric aggregation functions shall be located within the Network Suite or GS.MDF and be physically separated from the data hall. Meta to advise during design.</t>
  </si>
  <si>
    <t>Any work required to physically separate Meta's production network gear from the data hall will be provided as part of the Tenant Fit-Out (TFO) scope-of-work.</t>
  </si>
  <si>
    <t>Secured Cage or Mesh Wall Requirements: General</t>
  </si>
  <si>
    <t>See comments to §E.a.i, §E.a.ii, and §E.a.iii, below.</t>
  </si>
  <si>
    <t>No response received from Meta.  Scope changed to Tenant Fit-Out (TFO) scope-of-work.  Digital Realty confirms that we comply and that no changes are required.  Item will be paid for by Meta as part of TFO NRCs.</t>
  </si>
  <si>
    <t>§E.a.i</t>
  </si>
  <si>
    <t>Secured Cage or Mesh Wall Requirements: Secure cages/mesh walls are used to physically partition spaces within data centers to restrict physical access to a space (e.g. IDF, etc.)</t>
  </si>
  <si>
    <t>Any secure cages required to physically partition spaces within Meta leased areas or otherwise restrict access to Meta equipment will be provided as part of the Tenant Fit-Out (TFO) scope-of-work.</t>
  </si>
  <si>
    <t>§E.a.ii</t>
  </si>
  <si>
    <t>Secured Cage or Mesh Wall Requirements: When required, they shall not impede airflow or equipment operation. Impact on airflow and cooling shall be considered in the design.</t>
  </si>
  <si>
    <t>§E.a.iii</t>
  </si>
  <si>
    <t>Secured Cage or Mesh Wall Requirements: Adhere to required clearances to adjacent equipment, exit paths, doorways, rack pathways, and other equipment.</t>
  </si>
  <si>
    <t>Landlord will adhere to code-required clearances as part of the Base Build scope-of-work.  Accommodation for specific clearances required by Meta will be provided as part of the Tenant Fit-Out (TFO) scope-of-work.</t>
  </si>
  <si>
    <t>Secured Cage or Mesh Wall Requirements: Design Requirements</t>
  </si>
  <si>
    <t>See comments to §E.b.i, §E.b.ii, §E.b.iii, and §E.b.iv, below.</t>
  </si>
  <si>
    <t>§E.b.i</t>
  </si>
  <si>
    <t>Secured Cage or Mesh Wall Requirements: Secure cages shall be at least 8’ AFF or the height required for rack height, but not higher than tier 3 tray.</t>
  </si>
  <si>
    <t>§E.b.ii</t>
  </si>
  <si>
    <t>Secured Cage or Mesh Wall Requirements: The cage shall be constructed from wire mesh panels attached to posts.</t>
  </si>
  <si>
    <t>§E.b.iii</t>
  </si>
  <si>
    <t>Secured Cage or Mesh Wall Requirements: The maximum gap between the bottom of the mesh panel and the floor below shall be 2 inches.</t>
  </si>
  <si>
    <t>§E.b.iv</t>
  </si>
  <si>
    <t>Secured Cage or Mesh Wall Requirements: If  required, provide a screen or fabric attached to mesh for visual privacy.</t>
  </si>
  <si>
    <t>Any privacy screens or panels required will be provided as part of the Tenant Fit-Out (TFO) scope-of-work.</t>
  </si>
  <si>
    <t>§E.c</t>
  </si>
  <si>
    <t>Secured Cage or Mesh Wall Requirements: Material</t>
  </si>
  <si>
    <t>See comments to §E.c.i and §E.c.ii, below.</t>
  </si>
  <si>
    <t>No response received from Meta.  Scope changed to Tenant Fit-Out (TFO) scope-of-work.  Digital Realty response changed to "Comply".  Item will be paid for by Meta as part of TFO NRCs.</t>
  </si>
  <si>
    <t>§E.c.i</t>
  </si>
  <si>
    <t>Secured Cage or Mesh Wall Requirements: Wire Mesh: 1”x1” powder coated black wire mesh; 9-gauge (minimum)</t>
  </si>
  <si>
    <t>Base Building cage or mesh wall wire mesh will be as detailed and shown in the Landlord's drawings, plans, specifications, and basis of design.  Compliance with Meta cage and mesh wall wire mesh requirements can be provided as part of the Tenant Fit-Out (TFO) scope-of-work.  Any wire mesh for secure cages required to physically partition spaces within Meta leased areas or otherwise restrict access to Meta equipment will be provided as part of the Tenant Fit-Out (TFO) scope-of-work.</t>
  </si>
  <si>
    <t>§E.c.ii</t>
  </si>
  <si>
    <t>Secured Cage or Mesh Wall Requirements: Posts: 2”x2” post anchored to concrete slab or raised access floor (as applicable). If the cage is on a raised floor, then there is no need to extend below the raised floor.</t>
  </si>
  <si>
    <t>Base Building cage or mesh wall support posts will be as detailed and shown in the Landlord's drawings, plans, specifications, and basis of design.  Compliance with Meta cage and mesh wall support post requirements can be provided as part of the Tenant Fit-Out (TFO) scope-of-work.  Any support posts for secure cages required to physically partition spaces within Meta leased areas or otherwise restrict access to Meta equipment will be provided as part of the Tenant Fit-Out (TFO) scope-of-work.</t>
  </si>
  <si>
    <t>§E.d</t>
  </si>
  <si>
    <t>Secured Cage or Mesh Wall Requirements: Doors</t>
  </si>
  <si>
    <t>See comments to §E.d.i, §E.d.ii, and §E.d.iii, below.</t>
  </si>
  <si>
    <t>§E.d.i</t>
  </si>
  <si>
    <t>Secured Cage or Mesh Wall Requirements: All doors shall be wire-mesh doors with electrified hardware, door actuators, and applicable access control, and door position switch. Strobes and sounders may be installed at the behest of the landlord, Meta Security takes no exception to the installation of these devices.</t>
  </si>
  <si>
    <t>Base Building cage or mesh wall doors and access control will be as detailed and shown in the Landlord's drawings, plans, specifications, and basis of design.  Compliance with Meta cage and mesh wall door and access control requirements can be provided as part of the Tenant Fit-Out (TFO) scope-of-work.  Any doors and access control for secure cages required to physically partition spaces within Meta leased areas or otherwise restrict access to Meta equipment will be provided as part of the Tenant Fit-Out (TFO) scope-of-work.</t>
  </si>
  <si>
    <t>§E.d.ii</t>
  </si>
  <si>
    <t>Secured Cage or Mesh Wall Requirements: Secure cage door hinges shall be located on the interior (secure) side or utilize tamper- resistant hardware.</t>
  </si>
  <si>
    <t>Base Building cage or mesh wall door hinges and hardware will be as detailed and shown in the Landlord's drawings, plans, specifications, and basis of design.  Compliance with Meta cage and mesh wall door hinge and hardware requirements can be provided as part of the Tenant Fit-Out (TFO) scope-of-work.  Any secure cages required to physically partition spaces within Meta leased areas or otherwise restrict access to Meta equipment will be provided as part of the Tenant Fit-Out (TFO) scope-of-work.</t>
  </si>
  <si>
    <t>§E.d.iii</t>
  </si>
  <si>
    <t>Secured Cage or Mesh Wall Requirements: Secure cage doors shall be designed to prevent manipulation of interior (secure side) hardware from the exterior (unsecure side). A typical method is through incorporating anti-tamper steel sheeting to mitigate the risk of manipulation of door hardware from the non-secure side.</t>
  </si>
  <si>
    <t>Base Building cage or mesh wall door hardware and trim will be as detailed and shown in the Landlord's drawings, plans, specifications, and basis of design.  Compliance with Meta cage and mesh wall door hardware and trim requirements can be provided as part of the Tenant Fit-Out (TFO) scope-of-work.  Any door hardware and trim for secure cages required to physically partition spaces within Meta leased areas or otherwise restrict access to Meta equipment will be provided as part of the Tenant Fit-Out (TFO) scope-of-work.</t>
  </si>
  <si>
    <t>§E.e</t>
  </si>
  <si>
    <t>Secured Cage or Mesh Wall Requirements: Video Surveillance</t>
  </si>
  <si>
    <t>See comments to §E.e.i and §E.e.iii, below.</t>
  </si>
  <si>
    <t>No response received from Meta.  Digital Realty response changed to "Comply".  Any modifications to Landlord's baseline security installations will be paid for by Meta as part of TFO NRCs.</t>
  </si>
  <si>
    <t>§E.e.i</t>
  </si>
  <si>
    <t>Secured Cage or Mesh Wall Requirements: Cameras shall provide ID level video coverage at both card readers as per video surveillance requirements section.</t>
  </si>
  <si>
    <t>Base Building video surveillance of cage or mesh wall ingress and egress locations will be as detailed and shown in the Landlord's drawings, plans, specifications, and basis of design.  Compliance with Meta video surveillance requirements for cage or mesh wall ingress and egress locations can be provided as part of the Tenant Fit-Out (TFO) scope-of-work.  Any video surveillance of secure cages required to physically partition spaces within Meta leased areas or otherwise restrict access to Meta equipment will be provided as part of the Tenant Fit-Out (TFO) scope-of-work.</t>
  </si>
  <si>
    <t>§E.e.ii</t>
  </si>
  <si>
    <t>Secured Cage or Mesh Wall Requirements: Security cabling shall be contained within the caged area.</t>
  </si>
  <si>
    <t>Base Building security cabling for cage or mesh wall ingress and egress locations will be as detailed and shown in the Landlord's drawings, plans, specifications, and basis of design.  Compliance with Meta security cabling requirements for cage or mesh wall ingress and egress locations can be provided as part of the Tenant Fit-Out (TFO) scope-of-work.  Any security cabling for cages required to physically partition spaces within Meta leased areas or otherwise restrict access to Meta equipment will be provided as part of the Tenant Fit-Out (TFO) scope-of-work.</t>
  </si>
  <si>
    <t>Loading dock: The loading dock shall be considered shared Meta space in which the Landlord will be responsible for providing, managing, and maintaining all aspects of the following security measures within the space, including as a minimum (i) Access Control System, (ii) Video Monitoring System.</t>
  </si>
  <si>
    <t>Base Building access control and video monitoring for the loading dock will be as detailed and shown in the Landlord's drawings, plans, specifications, and basis of design.  Any changes or additions to access control or video monitoring systems and devices will be provided as part of the Tenant Fit-Out (TFO) scope-of-work.</t>
  </si>
  <si>
    <t>Loading dock: There shall be Landlord provided, managed, and maintained overview-level video coverage of the exterior of the loading dock.</t>
  </si>
  <si>
    <t>Base Building video monitoring for the loading dock will be as detailed and shown in the Landlord's drawings, plans, specifications, and basis of design.  Any changes or additions to video monitoring systems and devices will be provided as part of the Tenant Fit-Out (TFO) scope-of-work.</t>
  </si>
  <si>
    <t>Loading dock: Meta shall always have reasonable access to a loading dock and a freight elevator at all times (in common with other tenants of the Building), subject to the Building Rules and Regulations.</t>
  </si>
  <si>
    <t>No response received from Meta.  Digital Realty confirms that we comply and that no changes are required.</t>
  </si>
  <si>
    <t>§F.d</t>
  </si>
  <si>
    <t>Loading dock: Doors from the exterior into the loading dock shall be secured by the Landlord using 2-factor access control.</t>
  </si>
  <si>
    <r>
      <rPr>
        <b/>
        <sz val="12"/>
        <color rgb="FFFF0000"/>
        <rFont val="Times New Roman"/>
        <family val="1"/>
      </rPr>
      <t xml:space="preserve">Landlord's standard </t>
    </r>
    <r>
      <rPr>
        <sz val="12"/>
        <color theme="1"/>
        <rFont val="Times New Roman"/>
        <family val="1"/>
      </rPr>
      <t xml:space="preserve">Base Building access control from the exterior into the loading dock is via card reader.  Two-factor authentication (card-key plus biometric) </t>
    </r>
    <r>
      <rPr>
        <b/>
        <strike/>
        <sz val="12"/>
        <color rgb="FFFF0000"/>
        <rFont val="Times New Roman"/>
        <family val="1"/>
      </rPr>
      <t>can</t>
    </r>
    <r>
      <rPr>
        <sz val="12"/>
        <color theme="1"/>
        <rFont val="Times New Roman"/>
        <family val="1"/>
      </rPr>
      <t xml:space="preserve"> </t>
    </r>
    <r>
      <rPr>
        <b/>
        <sz val="12"/>
        <color rgb="FFFF0000"/>
        <rFont val="Times New Roman"/>
        <family val="1"/>
      </rPr>
      <t>will</t>
    </r>
    <r>
      <rPr>
        <sz val="12"/>
        <color theme="1"/>
        <rFont val="Times New Roman"/>
        <family val="1"/>
      </rPr>
      <t xml:space="preserve"> be provided as part of the </t>
    </r>
    <r>
      <rPr>
        <b/>
        <strike/>
        <sz val="12"/>
        <color rgb="FFFF0000"/>
        <rFont val="Times New Roman"/>
        <family val="1"/>
      </rPr>
      <t>Tenant Fit-Out (TFO)</t>
    </r>
    <r>
      <rPr>
        <sz val="12"/>
        <color theme="1"/>
        <rFont val="Times New Roman"/>
        <family val="1"/>
      </rPr>
      <t xml:space="preserve"> </t>
    </r>
    <r>
      <rPr>
        <b/>
        <sz val="12"/>
        <color rgb="FFFF0000"/>
        <rFont val="Times New Roman"/>
        <family val="1"/>
      </rPr>
      <t>Base Build</t>
    </r>
    <r>
      <rPr>
        <sz val="12"/>
        <color theme="1"/>
        <rFont val="Times New Roman"/>
        <family val="1"/>
      </rPr>
      <t xml:space="preserve"> scope-of-work.</t>
    </r>
  </si>
  <si>
    <t>No response received from Meta.  Digital Realty response changed to "Comply".  Item will be paid for by Digital Realty as part of Base Build.</t>
  </si>
  <si>
    <t>§G.a</t>
  </si>
  <si>
    <t>Access Control: General</t>
  </si>
  <si>
    <t>See comments to §G.a.i through §G.a.vi, below.</t>
  </si>
  <si>
    <t>§G.a.i</t>
  </si>
  <si>
    <t>Access Control: The Landlord shall be responsible for providing, managing, and maintaining all aspects of the access control system for the entire Data Center, including within Meta leased space. This includes all cabling, pathways, rough-in, and devices for all access controlled doors.</t>
  </si>
  <si>
    <t>Base Building access control will be as detailed and shown in the Landlord's drawings, plans, specifications, and basis of design.  Any changes or additions to access control systems and devices will be provided as part of the Tenant Fit-Out (TFO) scope-of-work.</t>
  </si>
  <si>
    <t>§G.a.ii</t>
  </si>
  <si>
    <t>Access Control: All exterior doors into the Data Center shall be access-controlled by the Landlord.</t>
  </si>
  <si>
    <t>§G.a.iii</t>
  </si>
  <si>
    <t>Access Control: The Landlord shall not traverse Meta leased space to access other Landlord space (electrical rooms, etc.)</t>
  </si>
  <si>
    <t>§G.a.iv</t>
  </si>
  <si>
    <t>Access Control: There shall be no designated path of egress from landlord/common space through Meta leased space, unless unavoidable and required by the AHJ and approved by the Meta.</t>
  </si>
  <si>
    <t>§G.a.v</t>
  </si>
  <si>
    <t>Access Control: There shall be no exterior doors that lead directly into Meta leased space unless unavoidable and required by the AHJ and approved by the Meta.</t>
  </si>
  <si>
    <t>§G.a.vi</t>
  </si>
  <si>
    <t>Access Control: Access control system shall adhere to OSDP version 2.2 or latest version</t>
  </si>
  <si>
    <t>Compliance with, deviation from, or exception to access control system requirements per OSDP version 2.2 or the latest version will be determined as part of Tenant Fit-Out (TFO) scope-of-work.  Installation of access control system equipment to support each particular requirement of OSDP version 2.2 or the latest version will correspond with that particular requirement's "comply" versus "deviation" versus "exception" status.</t>
  </si>
  <si>
    <t>No response received from Meta.  Digital Realty will review the OSDP version 2.2 requirements with Meta to determine compliance with, deviation from, or exception to specific requirements within the document.  Any modifications to Landlord's baseline security installations will be paid for by Meta as part of TFO NRCs.</t>
  </si>
  <si>
    <t>§G.b</t>
  </si>
  <si>
    <t>Access Control: Meta Lease Space</t>
  </si>
  <si>
    <t>See comments to §G.b.i through §G.a.ix, below.</t>
  </si>
  <si>
    <t>§G.b.i</t>
  </si>
  <si>
    <t>Access Control: Meta leased space shall be access-controlled using either a multi-factor authentication (2-fac) or single-factor authentication (1-fac) approach.</t>
  </si>
  <si>
    <t>Dual-factor authentication access control for Meta leased data halls and Landlord POP rooms will be provided as part of the Base Building scope-of-work.  All other facility doors will have single-factor authentication access control provided as part of the Base Building scope-of-work.  Access control for Meta leased office, storage, ancillary space, or sub-divided space (including data hall cages) will be provided as part of the Tenant Fit-Out (TFO) scope-of-work.</t>
  </si>
  <si>
    <t>§G.b.ii</t>
  </si>
  <si>
    <t>Access Control: Multi-factor authentication requires two different types of identify factors to enter:  (1) Something you have (e.g., Card, Key, etc.) AND EITHER (2) Something you know (e.g., PIN, Username/Password) or (3) Something you are ( e.g., Fingerprint, Facial Geometry, etc.).</t>
  </si>
  <si>
    <t>Landlord standard multi-factor authentication is card-key plus biometric access control.  Dual-factor authentication access control for Meta leased data halls and Landlord POP rooms will be provided as part of the Base Building scope-of-work.  All other facility doors will have single-factor authentication access control provided as part of the Base Building scope-of-work.  Access control for Meta leased office, storage, ancillary space, or sub-divided space (including data hall cages) will be provided as part of the Tenant Fit-Out (TFO) scope-of-work.</t>
  </si>
  <si>
    <t>§G.b.iii</t>
  </si>
  <si>
    <t>Access Control: Single-factor identification is used for all access-controlled doors not implementing a multi-factor approach.</t>
  </si>
  <si>
    <t>§G.b.iv</t>
  </si>
  <si>
    <t>Access Control: The type of access control provided for entry and exit of Meta leased space shall be dictated by the Meta's space type requirements (Refer to Device Matrix).</t>
  </si>
  <si>
    <t>§G.b.v</t>
  </si>
  <si>
    <t>Access Control: 2-factor authentication in and 1-factor authentication out shall be used in spaces that are designated as high-risk and/or critical to the success of the operation (Refer to Device Matrix). These spaces shall be designated by the Meta and include but not limited to:</t>
  </si>
  <si>
    <t>§G.b.v.1</t>
  </si>
  <si>
    <t>Access Control: All spaces with access to or are part of the Metas’s network (e.g. MDF, Network Suite, Data Hall, IDF, etc.).</t>
  </si>
  <si>
    <t>§G.b.v.2</t>
  </si>
  <si>
    <t>Access Control: High-value assets and/or equipment that will transmit or store user data is present (e.g. IBOS storage).</t>
  </si>
  <si>
    <t>§G.b.v.3</t>
  </si>
  <si>
    <t>Access Control: The doorway is an entry to Meta’s leased space housing core datacenter infrastructure (e.g., Production Network spaces, Data Halls, etc.).</t>
  </si>
  <si>
    <t>§G.b.v.4</t>
  </si>
  <si>
    <t>Access Control: General controls for the entire building’s facility operations systems are present. This includes but is not limited to spaces in which FacNet network switches or FacNet Client devices are present.</t>
  </si>
  <si>
    <t>§G.b.v.5</t>
  </si>
  <si>
    <t>Access Control: All doors into ERAD spaces</t>
  </si>
  <si>
    <t>§G.b.v.6</t>
  </si>
  <si>
    <t>Access Control: Controls for the entire building’s security systems are present</t>
  </si>
  <si>
    <t>§G.b.vi</t>
  </si>
  <si>
    <t>Access Control: If none of the above 2-factor conditions exist, a minimum of 1 factor of identity authentication shall be provided where one or more of the following conditions exist (Refer to Device Matrix):</t>
  </si>
  <si>
    <t>§G.b.vi.1</t>
  </si>
  <si>
    <t>Access Control: Controls for a portion of the security systems of the building are present</t>
  </si>
  <si>
    <t>§G.b.vi.2</t>
  </si>
  <si>
    <t>Access Control: Physical security keys to the building are present.</t>
  </si>
  <si>
    <t>§G.b.vi.3</t>
  </si>
  <si>
    <t>Access Control: Mechanical equipment, electrical equipment, or other controls are present which could impact operations in a portion of the building</t>
  </si>
  <si>
    <t>§G.b.vi.4</t>
  </si>
  <si>
    <t>Access Control: Spaces which store equipment, spares, and other materials which are critical to data center operations</t>
  </si>
  <si>
    <t>§G.b.vii</t>
  </si>
  <si>
    <t>Access Control: All access-controlled doors shall be actively monitored with an alerting mechanism that sends an alarm to on-site security personnel when unauthorized access is detected. This includes door forced open, door held open, etc.</t>
  </si>
  <si>
    <t>Monitoring for data hall, POP room, electrical room, mechanical gallery, ancillary space, and other access controlled area doors will be provide as part of the Base Building scope-of-work.  Monitoring for Meta leased office, storage, ancillary space, or sub-divided space (including data hall cage) doors will be provided as part of the Tenant Fit-Out (TFO) scope-of-work.</t>
  </si>
  <si>
    <t>§G.b.viii</t>
  </si>
  <si>
    <t>Access Control: All doors shall "fail secure" unless required for life safety egress. Doors that must "fail safe" for life safety egress shall have access control installed on the egress side that only acts to shunt the door alarm.</t>
  </si>
  <si>
    <t>Landlord's standard is to have all doors "fail secure" except where required by local code or AHJ's for life safety egress.  Data hall, POP room, electrical room, mechanical gallery, ancillary space, and other facility doors will be provide as part of the Base Building scope-of-work.  Doors within Meta leased office, storage, ancillary space, or sub-divided space (including data hall cages) will be provided as part of the Tenant Fit-Out (TFO) scope-of-work.</t>
  </si>
  <si>
    <t>§G.b.ix</t>
  </si>
  <si>
    <t>Access Control: The access control system shall adhere to OSDP version 2.2 (or latest). Encryption (Secure Channel) shall be enabled and reader tamper alarm monitoring shall be employed.</t>
  </si>
  <si>
    <t>Video Surveillance: General</t>
  </si>
  <si>
    <t>See comments to §A.a.i through §A.a.iii, below.</t>
  </si>
  <si>
    <t>§A.a.ii</t>
  </si>
  <si>
    <t>Video Surveillance: All building exterior entrances/doors shall have Landlord provided identification-level video surveillance coverage to monitor egress and ingress.</t>
  </si>
  <si>
    <t>Base Building video surveillance resolution, device type, and device location will be as detailed and shown in the Landlord's drawings, plans, specifications, and basis of design.  Any changes or additions to video surveillence systems and devices will be provided as part of the Tenant Fit-Out (TFO) scope-of-work.</t>
  </si>
  <si>
    <t>Video Surveillance: All aspects of video surveillance within and outside Meta leased space shall be provided, managed, and maintained by the Landlord.</t>
  </si>
  <si>
    <t>§A.a.iii</t>
  </si>
  <si>
    <t>Video Surveillance: Landlord shall provide identification level coverage (Pix/ft density of at least 50) of access-controlled doors from Landlord space into Meta space and vice versa.</t>
  </si>
  <si>
    <t>Video Surveillance: Meta Leased Space/Fit-Out</t>
  </si>
  <si>
    <t>See comments to §A.b.i through §A.a.vi, below.</t>
  </si>
  <si>
    <t>§A.b.i</t>
  </si>
  <si>
    <t>Video Surveillance: Meta leased space requires a layered video surveillance approach dependent on conditions within the space. This approach uses three classifications of coverage: (1) Overview level - (greater than 10 pix/ft density), (2) Recognition Level – (greater than 20 pix/ft density), (3) Identification Level – (greater than 50 pix/ft density)</t>
  </si>
  <si>
    <t>§A.b.ii</t>
  </si>
  <si>
    <t>Video Surveillance: The location, number of cameras, and performance level of each camera within Meta leased space shall be dictated by the Meta's space type requirements. (Refer to Device Matrix)</t>
  </si>
  <si>
    <t>Video surveillence within Meta leased space will be provided as part of the Tenant Fit-Out (TFO) scope-of-work.</t>
  </si>
  <si>
    <t>§A.b.iii</t>
  </si>
  <si>
    <t>Video Surveillance: Overview level coverage shall be provided in spaces that hold high value assets or where work on high value assets is being done. (IBOS, Spoke, ERAD, etc.). These spaces shall have full coverage with no blackout or dead areas.</t>
  </si>
  <si>
    <t>§A.b.iv</t>
  </si>
  <si>
    <t>Video Surveillance: Recognition level coverage (greater than 20 pix/ft density) shall be provided in the Data Hall. Cameras shall provide coverage throughout main aisles.</t>
  </si>
  <si>
    <t>§A.b.v</t>
  </si>
  <si>
    <t>Video Surveillance: ERAD spaces require specific coverage which includes:</t>
  </si>
  <si>
    <t>§A.b.v.1</t>
  </si>
  <si>
    <t>Video Surveillance: Identification level coverage of all working stations with a minimum 1 frame per section (FPS) when no motion detected, and 10 FPS when motion is detected.</t>
  </si>
  <si>
    <t>§A.b.v.2</t>
  </si>
  <si>
    <t>Video Surveillance: Cameras shall work with very low light (night vision mode) and shall have a sensitivity set to 5 percent motion detection.</t>
  </si>
  <si>
    <t>§A.b.v.3</t>
  </si>
  <si>
    <t>Video Surveillance: Cameras in the ERAD room(s) should be set to continuously record.</t>
  </si>
  <si>
    <t>§A.b.vi</t>
  </si>
  <si>
    <t>Video Surveillance: Any Landlord IDF supporting the video management system for the Meta’s space shall be located outside of the Meta’s leased space.</t>
  </si>
  <si>
    <t>Intrusion Detection and Resistance: Devices</t>
  </si>
  <si>
    <t>See comments to §B.a.i through §B.a.iv, below.</t>
  </si>
  <si>
    <t>Intrusion Detection and Resistance: All Meta dedicated spaces with glazed openings within 10ft. (3 m) of grade shall be laminated glass OR be provided with an anti-shatter film that is reviewed and approved by the Meta.</t>
  </si>
  <si>
    <t>Base Building glazing will be as detailed and shown in the Landlord's drawings, plans, specifications, and basis of design.  Laminated glass or anti-shatter film will be provided as part of the Tenant Fit-Out (TFO) scope-of-work.</t>
  </si>
  <si>
    <t>§B.a.ii</t>
  </si>
  <si>
    <t>Intrusion Detection and Resistance: Intrusion detection capability shall be provided at all exterior doors (e.g. door held open and door forced open detection) to establish a secure building perimeter layer.</t>
  </si>
  <si>
    <t>Intrusion Detection and Resistance: Intrusion detection capability shall be provided at all access controlled doors to detect and alert of unauthorized access.</t>
  </si>
  <si>
    <t>Intrusion Detection and Resistance: The Landlord shall provide intrusion detection devices to monitor all man passable openings (e.g., louvers, hatches, etc.) into Meta leased space that are not physically secured to prevent unauthorized access (e.g., tamper-resistant fasteners, physical locks, etc.).</t>
  </si>
  <si>
    <t>Intrusion Detection and Resistance: Construction</t>
  </si>
  <si>
    <t>See comments to §B.b.i and §B.b.ii, below.</t>
  </si>
  <si>
    <t>No response received from Meta.  Digital Realty response changed to "Comply".  Items for §B.b.ii, below, will be paid for by Meta as part of TFO NRCs.</t>
  </si>
  <si>
    <t>Intrusion Detection and Resistance: Where other tenants share a wall with Meta’s high-risk spaces, such walls shall extend below the raised access floor to the slab and to the ceiling by means of security grade wire mesh or other industry recognized secure barrier. Further such walls must be alarmed to detect intrusion.</t>
  </si>
  <si>
    <t>No applicable as Meta is the only tenant in the Building.</t>
  </si>
  <si>
    <t>No response received from Meta.  Digital Realty confirms that we comply and that no changes are required.  This item is not applicable since Meta is the only tenant in the Building.</t>
  </si>
  <si>
    <t>§B.b.ii</t>
  </si>
  <si>
    <t>Intrusion Detection and Resistance: ERAD room design shall incorporate visual privacy features to prohibit visibility from outside of Meta Space</t>
  </si>
  <si>
    <t>Visual privacy features for ERAD room(s) will be provided as part of the Tenant Fit-Out (TFO) scope-of-work.</t>
  </si>
  <si>
    <t>Network Security: Network Access: Any device not owned and approved for use by Meta shall not be connected to any Meta network. (e.g., laptops, computers, cameras, BMS devices, EPMS devices, etc.)</t>
  </si>
  <si>
    <t>Network Security: Network Interconnections: The Landlord’s, other tenant, or any other network shall not be connected to any Meta network.</t>
  </si>
  <si>
    <t>§C.c.i</t>
  </si>
  <si>
    <t xml:space="preserve">Network Security: Network Interconnections: Network equipment, patch panels, interconnections, splice enclosures or telecommunication outlets, other than those owned or operated by Meta, shall not be collocated in a space or room containing those owned or operated by Meta. </t>
  </si>
  <si>
    <t>Building POE and POP rooms may house network equipment, patch panels, interconnections, and splice enclosures owned and operated by Meta, Landlord, 3rd party telecommunications carriers, and 3rd party service providers.</t>
  </si>
  <si>
    <t>No response received from Meta.  Digital Realty confirms that Building POE and POP rooms will be used by Meta, Landlord, and 3rd party telecommunications carriers</t>
  </si>
  <si>
    <t>Deviate: Building POE and POP rooms may house network equipment, patch panels, interconnections, and splice enclosures owned and operated by Meta, Landlord, 3rd party telecommunications carriers, and 3rd party service providers.</t>
  </si>
  <si>
    <t>§C.c.ii</t>
  </si>
  <si>
    <t>Network Security: Network Interconnections: An exception to the above may be granted by the Meta for spaces where the Meta’s fiber infrastructure is intended to connect to carrier equipment.</t>
  </si>
  <si>
    <t>§C.c.iii</t>
  </si>
  <si>
    <t>Network Security: Network Interconnections: All video surveillance and access control devices shall be routed back to the Landlord’s IDF. There shall be no devices that connect to a Meta  IDF, this includes devices that are located within the Meta’s leased space.</t>
  </si>
  <si>
    <t>§C.c.iv</t>
  </si>
  <si>
    <t>Network Security: Network Interconnections: All cabling that supports video surveillance and access control shall be physically separated from Meta network cabling. This includes devices that are located within the Meta’s leased space.</t>
  </si>
  <si>
    <t>§C.d.i</t>
  </si>
  <si>
    <t>Network Security: Telecommunication Pathways and Vaults between Meta-Lease Spaces: Exterior telecommunications pathways used to connect multiple
Meta-leased spaces shall be secured and protected from unauthorized access. The Landlord shall be able to detect when those spaces are accessed.</t>
  </si>
  <si>
    <t>No response received from Meta.  Digital Realty has provided costs to modify the OSP vaults, manhole openings, security monitoring, access control, and duct bank conduit quantities.  Any modifications to Landlord's baseline installations will be paid for by Meta as part of TFO NRCs.</t>
  </si>
  <si>
    <t>§C.d.ii</t>
  </si>
  <si>
    <t>Network Security: Telecommunication Pathways and Vaults between Meta-Lease Spaces: The Landlord shall notify Meta: (1) Before such a space is scheduled to be accessed so that Meta can monitor the network for intrusion, (2) Immediately when unscheduled access to such a space occurs.</t>
  </si>
  <si>
    <r>
      <t xml:space="preserve">Device Matrix: High Risk Spaces </t>
    </r>
    <r>
      <rPr>
        <i/>
        <sz val="12"/>
        <color theme="1"/>
        <rFont val="Times New Roman"/>
        <family val="1"/>
      </rPr>
      <t>Includes table listing (11) space types and their associated access control and video surveillance requirements.</t>
    </r>
  </si>
  <si>
    <t>Base Building access control device type, location, and functionality and Base Building video surveillance resolution, device type, and device location will be as detailed and shown in the Landlord's drawings, plans, specifications, and basis of design.  Any changes or additions to access control systems &amp; devices and video surveillence systems &amp; devices will be provided as part of the Tenant Fit-Out (TFO) scope-of-work.</t>
  </si>
  <si>
    <r>
      <t xml:space="preserve">Device Matrix: Low/Medium Risk Spaces </t>
    </r>
    <r>
      <rPr>
        <i/>
        <sz val="12"/>
        <color theme="1"/>
        <rFont val="Times New Roman"/>
        <family val="1"/>
      </rPr>
      <t>Includes table listing nine (9) space types and their associated access control and video surveillance requirements.</t>
    </r>
  </si>
  <si>
    <t>§D.Notes</t>
  </si>
  <si>
    <r>
      <t xml:space="preserve">Device Matrix: Notes:
</t>
    </r>
    <r>
      <rPr>
        <sz val="12"/>
        <color theme="1"/>
        <rFont val="Calibri"/>
        <family val="2"/>
      </rPr>
      <t>•</t>
    </r>
    <r>
      <rPr>
        <sz val="12"/>
        <color theme="1"/>
        <rFont val="Times New Roman"/>
        <family val="1"/>
      </rPr>
      <t xml:space="preserve">  Where there is an interconnecting door between the Network Hub and Megapod, Network Hub shall be 2-fac in, and 1-fac out into the Megapod
•  There shall be no designated path of egress from the Megapod through the Network Hub unless required by the AHJ and approved by Meta
•  Where a space requires 2-FAC and shares an interconnecting door with another Meta controlled space, it shall have 1-FAC access control in and out.
•  When a space requiring 2-fac shares an interconnecting door with another Meta space it shall have 1-factor access control installed on both sides.
•  Overview level - (greater than 10 pix/ft density), Recognition Level – (greater than 20 pix/ft density), Identification Level (ID) – (greater than 50 pix/ft density)</t>
    </r>
  </si>
  <si>
    <t>Connectivity</t>
  </si>
  <si>
    <t>OSP Pathway: Carrier Pathways</t>
  </si>
  <si>
    <t>See comments to §E.a.i through §E.a.iv, below.</t>
  </si>
  <si>
    <t>OSP Pathway: Pathways are to be provided to allow for outside carriers to enter facility from 4 diverse entry points</t>
  </si>
  <si>
    <t>OSP Pathway: Require minimum of 25’ separation between 4 diverse pathways</t>
  </si>
  <si>
    <t>OSP Pathway: Meta requires latitude/longitude to be provided for vault entry points to the campus duct ring.</t>
  </si>
  <si>
    <t>§E.a.iiv</t>
  </si>
  <si>
    <t>OSP Pathway: Required to provide outside carriers with location to tie into the campus to provide service</t>
  </si>
  <si>
    <t>OSP Pathway: Production Pathways</t>
  </si>
  <si>
    <t>See comments to §E.b.i through §E.b.ii, below.</t>
  </si>
  <si>
    <t>OSP Pathway: Pathways are to be provided to interconnect the fiber cabling between buildings 1 through 3 for the back end (BE) and Front End (FE) network.</t>
  </si>
  <si>
    <t>There are only two (2) buildings on the campus.  Production pathways will be provided to connect these buildings.</t>
  </si>
  <si>
    <t>§E.b.i.1</t>
  </si>
  <si>
    <t>OSP Pathway: BE Network</t>
  </si>
  <si>
    <t>See comments to §E.b.i.1.a, below.</t>
  </si>
  <si>
    <t>§E.b.i.1.a</t>
  </si>
  <si>
    <t>OSP Pathway: There shall be a requirement of 2 diverse entry points with a required minimum of 25’ separation between the 2 diverse pathways.</t>
  </si>
  <si>
    <t>§E.b.i.2</t>
  </si>
  <si>
    <t>OSP Pathway: FE Network</t>
  </si>
  <si>
    <t>See comments to §E.b.i.2.a, below.</t>
  </si>
  <si>
    <t>§E.b.i.2.a</t>
  </si>
  <si>
    <t>OSP Pathway: There shall be a requirement of 4 diverse entry points with a required minimum of 25’ separation between the 4 diverse pathways.</t>
  </si>
  <si>
    <t>ISP Pathways</t>
  </si>
  <si>
    <t>See comments to §F.a. through §F.b.iii.4.b.iv, below.</t>
  </si>
  <si>
    <t>--</t>
  </si>
  <si>
    <t>ISP Pathways: ISP Pathways Supporting OSP</t>
  </si>
  <si>
    <t>See comments to §F.a.i through §F.a.ii.5, below.</t>
  </si>
  <si>
    <t>§F.a.i</t>
  </si>
  <si>
    <t>ISP Pathways: ISP Pathways Supporting OSP: Supporting Spaces</t>
  </si>
  <si>
    <t>Compliance to requirements will be provided as part of Tenant Fit-Out scope-of-work.</t>
  </si>
  <si>
    <t>§F.a.i.1</t>
  </si>
  <si>
    <t>ISP Pathways: Refer to the Building Interior and Structure section for space allocation and sizing requirements.</t>
  </si>
  <si>
    <t>Compliance to 'Building Interior and Structure' section ISP pathway space quantity and sizing requirements will be provided as part of Tenant Fit-Out scope-of-work.</t>
  </si>
  <si>
    <t>§F.a.i.2</t>
  </si>
  <si>
    <t>ISP Pathways: Meet Me Room ("MMR")</t>
  </si>
  <si>
    <t>See comments to §F.a.i.2.a through §F.a.i.2.c, below.</t>
  </si>
  <si>
    <t>§F.a.i.2.a</t>
  </si>
  <si>
    <t>ISP Pathways: 	Each MMR requires 4 racks to be reserved for Meta use. These shall be (4) CPI 4-post racks. Refer to Power section for rack electrical requirements.</t>
  </si>
  <si>
    <t>CPI 4-post racks for Meta use and associated electric power circuits will be provided as part of the Tenant Fit-Out (TFO) scope-of-work.</t>
  </si>
  <si>
    <t>§F.a.i.2.b</t>
  </si>
  <si>
    <t>ISP Pathways: 	Landlord responsible for coordinating with Meta carriers and providing a provisioned MMR room in accordance with Meta carrier install schedules.</t>
  </si>
  <si>
    <r>
      <t>Landlord will provide a provisioned MMR room as part of the Tenant Fit-Out (TFO) scope-of-work.</t>
    </r>
    <r>
      <rPr>
        <b/>
        <strike/>
        <sz val="12"/>
        <color rgb="FFFF0000"/>
        <rFont val="Times New Roman"/>
        <family val="1"/>
      </rPr>
      <t xml:space="preserve">  Carrier install schedules will be as detailed with the Lease.</t>
    </r>
  </si>
  <si>
    <t>§F.a.i.2.c</t>
  </si>
  <si>
    <t>ISP Pathways: 	Pathways from MMR to Network Suites shall be designed by Meta.  Installation of pathways shall be coordinated with Meta during design.</t>
  </si>
  <si>
    <t>Pathways from MMR to Network Suites will be provided as part of the Tenant Fit-Out (TFO) scope-of-work.</t>
  </si>
  <si>
    <t>§F.a.ii</t>
  </si>
  <si>
    <t>ISP Pathways: Entrance Facilities ("EF")</t>
  </si>
  <si>
    <t>See comments to §F.a.ii.1.a through §F.a.ii.5, below.</t>
  </si>
  <si>
    <t>§F.a.ii.1</t>
  </si>
  <si>
    <t>ISP Pathways: All OSP conduits stubbing up into room to be coordinated with Meta.</t>
  </si>
  <si>
    <t>OSP conduit stub-up locations will be as detailed and shown in the Landlord's drawings, plans, specifications, and basis of design.</t>
  </si>
  <si>
    <t>No response received from Meta.  Digital Realty confirms that OSP conduit stub up locations will be determined by Landlord.  Item will be paid for by Digital Realty as part of Base Build.</t>
  </si>
  <si>
    <t>§F.a.ii.2</t>
  </si>
  <si>
    <t>ISP Pathways: Room walls shall be covered with fire-rated plywood.</t>
  </si>
  <si>
    <t>§F.a.ii.3</t>
  </si>
  <si>
    <t>ISP Pathways: Rooms are to be dedicated to Meta use.</t>
  </si>
  <si>
    <t>Building entrance rooms (EF, POE, and POP rooms) may house network equipment, patch panels, interconnections, and splice enclosures owned and operated by Meta, Landlord, 3rd party telecommunications carriers, and 3rd party service providers.</t>
  </si>
  <si>
    <t>No response received from Meta.  Digital Realty confirms that Building entrance rooms (Efs, POEs, POP rooms) will be used by Meta, Landlord, and 3rd party telecommunications carriers</t>
  </si>
  <si>
    <t>Deviate: Building entrance rooms (EF, POE, and POP rooms) may house network equipment, patch panels, interconnections, and splice enclosures owned and operated by Meta, Landlord, 3rd party telecommunications carriers, and 3rd party service providers.</t>
  </si>
  <si>
    <t>§F.a.ii.4</t>
  </si>
  <si>
    <t>ISP Pathways: 	All ladder racks and trays in the room shall be designed and installed by Meta.</t>
  </si>
  <si>
    <r>
      <t xml:space="preserve">Building entrance rooms (EF, POE, and POP rooms) will have ladder rack and/or fiber tray designed and installed by </t>
    </r>
    <r>
      <rPr>
        <b/>
        <strike/>
        <sz val="12"/>
        <color rgb="FFFF0000"/>
        <rFont val="Times New Roman"/>
        <family val="1"/>
      </rPr>
      <t>Landlord as part of the Base Build scope-of-work.  Redesign and moves-adds-changes for ladder racks and/or fiber trays can be provided</t>
    </r>
    <r>
      <rPr>
        <sz val="12"/>
        <color theme="1"/>
        <rFont val="Times New Roman"/>
        <family val="1"/>
      </rPr>
      <t xml:space="preserve"> </t>
    </r>
    <r>
      <rPr>
        <b/>
        <sz val="12"/>
        <color rgb="FFFF0000"/>
        <rFont val="Times New Roman"/>
        <family val="1"/>
      </rPr>
      <t>Meta</t>
    </r>
    <r>
      <rPr>
        <sz val="12"/>
        <color theme="1"/>
        <rFont val="Times New Roman"/>
        <family val="1"/>
      </rPr>
      <t xml:space="preserve"> as part of the Tenant Fit-Out (TFO) scope-of-work. </t>
    </r>
  </si>
  <si>
    <t>No response received from Meta.  Per this requirement, Digital Realty response is changed to "Comply" and we confirm that all ladder racks and trays in Entrance Facilities (EF) shall be designed and installed by Meta</t>
  </si>
  <si>
    <t>§F.a.ii.5</t>
  </si>
  <si>
    <t>ISP Pathways: 	If the DC is a multistorey facility, the EF room shall also be utilized as a riser for OSP and ISP fiber. LL to provide all associated knockouts and pathways.</t>
  </si>
  <si>
    <t xml:space="preserve">The building is a two (2) storey facility.  Utilization of the building entrance rooms (EF, POE, and POP rooms) as a riser and engineering, furnishing, and installing pathways (and associated knockouts, core drilling, and other penetrations) will be provided as part of the Tenant Fit-Out (TFO) scope-of-work. </t>
  </si>
  <si>
    <t>ISP Pathways: ISP Pathways</t>
  </si>
  <si>
    <t>See comments to §F.b.i through §F.b.iii.4.b.iv, below.</t>
  </si>
  <si>
    <t>§F.b.i</t>
  </si>
  <si>
    <t>ISP Pathways: Cabling to support Front End (FE), Back End (BE), and General Systems (GS) shall be supported by ladder tray (Tier-1), Cable Trough (Tier-2), and basket tray (Tier-3, Tier-4, Tier-5, and Tier-GS). These tray tiers shall be implemented as needed to support the connectivity to/between meta network spaces (Network Suites, Megapods, GSIDF, etc.) and landlord spaces (POE and MMRs).</t>
  </si>
  <si>
    <t xml:space="preserve">Ladder tray, cable trough, and basket tray to support Front End (FE), Back End (BE), and General Systems (GS) cabling will be provided as part of the Tenant Fit-Out (TFO) scope-of-work. </t>
  </si>
  <si>
    <t>§F.b.ii</t>
  </si>
  <si>
    <t>ISP Pathways: Key Spaces</t>
  </si>
  <si>
    <r>
      <t xml:space="preserve">Comply (part); </t>
    </r>
    <r>
      <rPr>
        <b/>
        <strike/>
        <sz val="12"/>
        <color rgb="FFFF0000"/>
        <rFont val="Times New Roman"/>
        <family val="1"/>
      </rPr>
      <t xml:space="preserve">Deviation (part); </t>
    </r>
    <r>
      <rPr>
        <sz val="12"/>
        <color theme="1"/>
        <rFont val="Times New Roman"/>
        <family val="1"/>
      </rPr>
      <t>Exception (part)</t>
    </r>
  </si>
  <si>
    <t>See comments to §F.b.ii.1 through §F.b.ii.4.b, below.</t>
  </si>
  <si>
    <t>No response received from Meta.  Digital Realty takes exception to this requirement since in does not contain any applicable scope-of-work requirements.</t>
  </si>
  <si>
    <t>§F.b.ii.1</t>
  </si>
  <si>
    <t>ISP Pathways: Refer to the Power section for power rating requirements per space.</t>
  </si>
  <si>
    <t>Compliance to 'Power' section requirements will be provided as part of Tenant Fit-Out (TFO) scope-of-work.</t>
  </si>
  <si>
    <t>§F.b.ii.2</t>
  </si>
  <si>
    <t>ISP Pathways: Network Suites</t>
  </si>
  <si>
    <t>See comments to §F.b.ii.2.a, below.</t>
  </si>
  <si>
    <t>§F.b.ii.2.a</t>
  </si>
  <si>
    <t>ISP Pathways: Provide four (4) Network Suites per Region. Network Suites must be able to be connected to each Megapod in the region while maintaining the 25% failure domain requirement.</t>
  </si>
  <si>
    <t>Exception is taken to this item as it refers to Meta "Regions" and does not contain any scope-of-work requirements.  The number of Network Suites to be provided will be as stated within the Lease.</t>
  </si>
  <si>
    <t>§F.b.ii.3</t>
  </si>
  <si>
    <t>ISP Pathways: Megapods</t>
  </si>
  <si>
    <t>See comments to §F.b.ii.3.a and §F.b.ii.3.b, below.</t>
  </si>
  <si>
    <t>§F.b.ii.3.a</t>
  </si>
  <si>
    <t>ISP Pathways: Each Megapod will contain a Main Distribution Frame (MDF) and dedicated IT rows. The MDF is a network space that provides connectivity between Megapods and Network Suites.</t>
  </si>
  <si>
    <t>Exception is taken to this item as does not contain any scope-of-work requirements.  The number of Megapods, Main Distribution Frames, and dedicated IT rows to be provided will be as stated within the Lease.</t>
  </si>
  <si>
    <t>§F.b.ii.3.b</t>
  </si>
  <si>
    <t>ISP Pathways: Provide a maximum of forty-eight (48) Megapods per Region.</t>
  </si>
  <si>
    <t>Exception is taken to this item as it refers to Meta "Regions" and does not contain any scope-of-work requirements.  The number of Megapods to be provided will be as stated within the Lease.</t>
  </si>
  <si>
    <t>Deviate: sixteen (16) Megapods to be provided</t>
  </si>
  <si>
    <t>§F.b.ii.4</t>
  </si>
  <si>
    <t>ISP Pathways: Support spaces</t>
  </si>
  <si>
    <t>See comments to §F.b.ii.4.a and §F.b.ii.4.b, below.</t>
  </si>
  <si>
    <t>§F.b.ii.4.a</t>
  </si>
  <si>
    <t>ISP Pathways: Refer to the Building Interior and Structure section for space quantity and sizing requirements.</t>
  </si>
  <si>
    <t>§F.b.ii.4.b</t>
  </si>
  <si>
    <t>§F.b.iii</t>
  </si>
  <si>
    <t>ISP Pathways: GS Spaces</t>
  </si>
  <si>
    <t>See comments to §F.b.iii.1 through §F.b.iii.4.b.iv, below.</t>
  </si>
  <si>
    <t>§F.b.iii.1</t>
  </si>
  <si>
    <t>ISP Pathways: GSIDF</t>
  </si>
  <si>
    <t>See comments to §F.b.iii.1.a through §F.b.iii.1.b.ii, below.</t>
  </si>
  <si>
    <t>§F.b.iii.1.a</t>
  </si>
  <si>
    <t>ISP Pathways: Meta uses the standard of determining GSIDF coverage using a diamond centered at the center of the IDF with a diagonal from the center of the diamond to a corner of the diamond with 235’ in length. Anything within the diamond is considered covered by the GSIDF.  GSIDFs coverage must contain all Network Suites, Megapods, and common spaces completely. If coverage exceptions are needed, these will require Meta approval.</t>
  </si>
  <si>
    <t>All GSIDF racks, rack accessories, electric power circuits, telecommunications pathways, telecommunications pathway accessories, data cabling, data cabling accessories, and all related engineering, installation, labeling, testing, and provisioning work will be provided as part of Tenant Fit-Out (TFO) scope-of-work.</t>
  </si>
  <si>
    <t>§F.b.iii.1.b</t>
  </si>
  <si>
    <t>ISP Pathways: Number of rack positions - 2</t>
  </si>
  <si>
    <t>§F.b.iii.1.b.i</t>
  </si>
  <si>
    <t>ISP Pathways: Rack 01 passive and Rack 02 active.</t>
  </si>
  <si>
    <t>ISP Pathways: iCPI 4-post for all racks</t>
  </si>
  <si>
    <t>§F.b.iii.2</t>
  </si>
  <si>
    <t>ISP Pathways: ADMIDF</t>
  </si>
  <si>
    <t>See comments to §F.b.iii.2.a through §F.b.iii.2.b.ii, below.</t>
  </si>
  <si>
    <t>§F.b.iii.2.a</t>
  </si>
  <si>
    <t xml:space="preserve">ISP Pathways: ADMIDF coverage is determined in a similar manner as GSIDFs utilizing the diamond coverage method. ADMIDF coverage must include all admin/office space for the floor the IDF is on. ADMIDF coverage is limited to the floor on which the ADMIDF is on. If coverage exceptions are needed, these will require Meta approval. </t>
  </si>
  <si>
    <t>All ADMIDF racks, rack accessories, electric power circuits, telecommunications pathways, telecommunications pathway accessories, data cabling, data cabling accessories, and all related engineering, installation, labeling, testing, and provisioning work will be provided as part of Tenant Fit-Out (TFO) scope-of-work.</t>
  </si>
  <si>
    <t>§F.b.iii.2.b</t>
  </si>
  <si>
    <t>ISP Pathways: Number of rack positions – 4</t>
  </si>
  <si>
    <t>§F.b.iii.2.b.i</t>
  </si>
  <si>
    <t>ISP Pathways: 2 active (Rack positions 02, 03) and 2 passive (Rack positions 01, 04).</t>
  </si>
  <si>
    <t>§F.b.iii.2.b.ii</t>
  </si>
  <si>
    <t>ISP Pathways: CPI 4-post for all racks</t>
  </si>
  <si>
    <t>§F.b.iii.3</t>
  </si>
  <si>
    <t>ISP Pathways: GSMDF</t>
  </si>
  <si>
    <t>See comments to §F.b.iii.3.a through §F.b.iii.3.b.ii, below.</t>
  </si>
  <si>
    <t>§F.b.iii.3.a</t>
  </si>
  <si>
    <t>ISP Pathways: Co-located in each Network Suite, Rows 01 and 02.</t>
  </si>
  <si>
    <t>All GSMDF racks, rack accessories, electric power circuits, telecommunications pathways, telecommunications pathway accessories, data cabling, data cabling accessories, and all related engineering, installation, labeling, testing, and provisioning work will be provided as part of Tenant Fit-Out (TFO) scope-of-work.</t>
  </si>
  <si>
    <t>§F.b.iii.3.b</t>
  </si>
  <si>
    <t>ISP Pathways: Number of rows in each space - 2</t>
  </si>
  <si>
    <t>§F.b.iii.3.b.i</t>
  </si>
  <si>
    <t>ISP Pathways: Number of rack positions in each row – 23 (Racks 01-03; 21-23 passive; Racks 04-20 active).</t>
  </si>
  <si>
    <t>§F.b.iii.3.b.ii</t>
  </si>
  <si>
    <t>ISP Pathways: CPI 4-post for Active Racks and CPI 2-post for Passive Racks.</t>
  </si>
  <si>
    <t>§F.b.iii.4</t>
  </si>
  <si>
    <t>ISP Pathways: Riser Rooms</t>
  </si>
  <si>
    <t>See comments to §F.b.iii.4.a through §F.b.iii.3.b.iv, below.</t>
  </si>
  <si>
    <t>§F.b.iii.4.a</t>
  </si>
  <si>
    <t>ISP Pathways: For carrier and inter-building front-end connectivity, if multi-story building four risers are required to connect MDF spaces across floors. This is achieved by utilizing 4” conduit sleeves. Meta to coordinate the quantity of knockouts required.</t>
  </si>
  <si>
    <t xml:space="preserve">The building is a two (2) storey facility.  Engineering, furnishing, and installing risers, riser pathways, and associated conduit sleeves, knockouts, core drilling, and other penetrations will be provided as part of the Tenant Fit-Out (TFO) scope-of-work. </t>
  </si>
  <si>
    <t>§F.b.iii.4.b</t>
  </si>
  <si>
    <t>ISP Pathways: For intra-building back-end network connectivity, risers shall be placed between back-end MDF pairs.</t>
  </si>
  <si>
    <t>§F.b.iii.4.b.i</t>
  </si>
  <si>
    <t>ISP Pathways: Riser configuration and slot dimension to be coordinated with Meta.</t>
  </si>
  <si>
    <t xml:space="preserve">Riser configuration, penetration sizing &amp; dimensions, and coordination with Meta will be determined and provided as part of the Tenant Fit-Out (TFO) scope-of-work. </t>
  </si>
  <si>
    <t>§F.b.iii.4.b.ii</t>
  </si>
  <si>
    <t>ISP Pathways: Preferred dimension 20”x 6” with 6 FT minimum between slots</t>
  </si>
  <si>
    <t xml:space="preserve">Riser configuration, penetration sizing &amp; dimensions, and distance between penetrations will be determined as part of the Tenant Fit-Out (TFO) scope-of-work. </t>
  </si>
  <si>
    <t>§F.b.iii.4.b.iii</t>
  </si>
  <si>
    <t>ISP Pathways: If perforations are located within accessible spaces, these must be secured in compliance with safety requirements.</t>
  </si>
  <si>
    <t xml:space="preserve">Riser penetration locations, penetration accessability, and health &amp; safety considerations will be addressed as part of the Tenant Fit-Out (TFO) scope-of-work. </t>
  </si>
  <si>
    <t>§F.b.iii.4.b.iv</t>
  </si>
  <si>
    <t>ISP Pathways: Location and sizing of penetration zones for ISP pathways shall be coordinated with Meta for clash detection with other systems.</t>
  </si>
  <si>
    <t>§G</t>
  </si>
  <si>
    <t>Cabling</t>
  </si>
  <si>
    <t>See comments to §G.a through §G.f.iii, below.</t>
  </si>
  <si>
    <t>No response received from Meta.  Per "Connectivity" requirement §G.a, all Cabling shall be designed and installed by Meta</t>
  </si>
  <si>
    <t>Cabling: All Cabling shall be designed and installed by Meta to meet the network requirements set by pINE and ENS. Cabling design is broken down by use case below and includes any outside plant (OSP), inside plant (ISP) and patch cabling.</t>
  </si>
  <si>
    <t>Exception is taken to this requirement as all cabling shall be designed, furnished, and installed by Meta or others.</t>
  </si>
  <si>
    <t>Exception: all cabling shall be designed, furnished, and installed by Meta or others.</t>
  </si>
  <si>
    <t>Cabling: Carrier</t>
  </si>
  <si>
    <t>See comments to §G.b.i through §G.b.iii, below.</t>
  </si>
  <si>
    <t>Cabling: Outside Carrier to bring in new service via fiber optic cable to POE and/or MMR to provide lit and dark service for the Meta network</t>
  </si>
  <si>
    <t xml:space="preserve">Cabling: Services Handed off in the POE will tie to a house Meta Carrier cable which will be designed and routed by Meta on Tier-GS from POE to Network Suites. Cabling from a POE shall remain diverse from other POEs going to the same Network Suite. POE shall provide 4 diverse paths to each Network Suite.  </t>
  </si>
  <si>
    <t>Cabling: Services Handed off in the MMR will tie to a house Meta Carrier cable which will be designed and routed by Meta on Tier-GS from MMR to Network Suites. Cabling from an MMR shall remain diverse from other MMRs going to the same Network Suite. MMRs shall provide a path to each Network Suite to be diverse from any other (minimum of 2 MMR for region)</t>
  </si>
  <si>
    <t>§G.c</t>
  </si>
  <si>
    <t>Cabling: General Systems (GS)</t>
  </si>
  <si>
    <t>See comments to §G.c.i through §G.c.v, below.</t>
  </si>
  <si>
    <t>§G.c.i</t>
  </si>
  <si>
    <t>Cabling: 2 Network Suites will serve as the main GSMDFs for the region. GS will be a 2-	path system for the region, where path 1 comes from one Network Suite and path 2 comes from the other</t>
  </si>
  <si>
    <t>§G.c.ii</t>
  </si>
  <si>
    <t>Cabling: GS cabling shall be provided between Network Suites</t>
  </si>
  <si>
    <t>§G.c.iii</t>
  </si>
  <si>
    <t>Cabling: All GSIDF and ADMINIDF shall be numbered in accordance with coordination with ENS</t>
  </si>
  <si>
    <t>§G.c.iv</t>
  </si>
  <si>
    <t>Cabling: PTP Cabling shall connect to each Network suite providing 4 distinct paths for cabling</t>
  </si>
  <si>
    <t>§G.c.v</t>
  </si>
  <si>
    <t>Cabling: MGMT and Console Fiber cabling shall be designed to support the production network (Front-End and Back-End)</t>
  </si>
  <si>
    <t>§G.d</t>
  </si>
  <si>
    <t>Cabling: CorpNet</t>
  </si>
  <si>
    <t>See comments to §G.d.i through §G.d.iii, below.</t>
  </si>
  <si>
    <t>§G.d.i</t>
  </si>
  <si>
    <t>Cabling: All AP layouts shall be designed by Meta-RSE and installed by DEC managed vendors.</t>
  </si>
  <si>
    <t>Exception is taken to this requirement as all AP layouts and APs shall be designed, furnished, and installed by Meta or others.</t>
  </si>
  <si>
    <t>§G.d.ii</t>
  </si>
  <si>
    <t>Cabling: Overall floorplans, clearly indicating Meta-Exclusive Occupied space for AP layout and integration into Technology Drawing Sets.</t>
  </si>
  <si>
    <t>Exception is taken to this requirement as all AP layouts and APs shall be designed, furnished, and installed by Meta or others.  Landlord shall have no responsibility for incorporating or integrating AP layouts into Landlord's technology drawings.</t>
  </si>
  <si>
    <t>§G.d.ii.1</t>
  </si>
  <si>
    <t>Cabling: The “Overall AP Layout Plan” should show walls, doors, cable tray as full-tone and racks, HAC, shelving and room names as half-tone.</t>
  </si>
  <si>
    <t>§G.d.ii.2</t>
  </si>
  <si>
    <t>Cabling: Once the Overall Plans are provided to the RSE TDM they will send back AP Layouts to be included by the TEOR into the drawings set.</t>
  </si>
  <si>
    <t>§G.d.iii</t>
  </si>
  <si>
    <t>Cabling: In addition the Overall AP Layout Plan will be AP mounting details for all AP mounting types occurring within the space.</t>
  </si>
  <si>
    <t>Exception is taken to this requirement as all AP layouts and APs shall be designed, furnished, and installed by Meta or others.  Landlord shall have no responsibility for incorporating or integrating AP layouts or mounting details into Landlord's technology drawings.</t>
  </si>
  <si>
    <t>§G.e</t>
  </si>
  <si>
    <t>Cabling: Front-End (FE)</t>
  </si>
  <si>
    <t>See comments to §G.e.i through §G.e.iii, below.</t>
  </si>
  <si>
    <t>§G.e.i</t>
  </si>
  <si>
    <t>Cabling: All Cabling required to connect layers in Network Suites, between Network Suites, and from Network Suites to Megapods</t>
  </si>
  <si>
    <t>§G.e.ii</t>
  </si>
  <si>
    <t>Cabling: Designed as 4 diverse paths system between network topology layers</t>
  </si>
  <si>
    <t>§G.e.iii</t>
  </si>
  <si>
    <t>Cabling: Leverages outside designated goalpost in Megapods</t>
  </si>
  <si>
    <t>§G.f</t>
  </si>
  <si>
    <t>Cabling: Back-End (BE)</t>
  </si>
  <si>
    <t>See comments to §G.f.i through §G.f.iii, below.</t>
  </si>
  <si>
    <t>§G.f.i</t>
  </si>
  <si>
    <t>Cabling: All Cabling required to connect layers between Megapods by either direct cabling between megapods and/or cabling from Megapods to Network Suites</t>
  </si>
  <si>
    <t>§G.f.ii</t>
  </si>
  <si>
    <t>Cabling: Designed as 2 diverse path system between network topology layers</t>
  </si>
  <si>
    <t>§G.f.iii</t>
  </si>
  <si>
    <t>Cabling: Leverages inside designated goalpost in Megapods</t>
  </si>
  <si>
    <r>
      <t xml:space="preserve">Interior lighting controls sequence of operations </t>
    </r>
    <r>
      <rPr>
        <i/>
        <sz val="12"/>
        <color theme="1"/>
        <rFont val="Times New Roman"/>
        <family val="1"/>
      </rPr>
      <t>Table at top of page #32</t>
    </r>
  </si>
  <si>
    <t>Exception is taken to the "Interior Lighting Controls Sequence Of Operations" table at the top of page #32.  Lighting controls and lighting controls sequence of operations (SOO) will be as detailed and shown in the Landlord's drawings, plans, specifications, and basis of design.</t>
  </si>
  <si>
    <t>DAS/PTP</t>
  </si>
  <si>
    <t>Public Safety (ERRCS) DAS</t>
  </si>
  <si>
    <t>See comments to §A.a through §A.a.iv, below.</t>
  </si>
  <si>
    <t>Digital Realty (if required by AHJ); Meta (if not required by AHJ)</t>
  </si>
  <si>
    <t>No response received from Meta.  Digital Realty confirms that we will install a Public Safety (ERRCS) DAS system if required by the AHJ.  Otherwise, item will be paid for by Meta as part of TFO NRCs.</t>
  </si>
  <si>
    <t>Public Safety (ERRCS) DAS: Provide a Public Safety DAS system to comply with building and fire code requirements and to ensure first responder radio coverage is provided.</t>
  </si>
  <si>
    <t>If required by the local Authorities Having Jurisdiction (AHJ), a public safety (ERRCS) DAS meeting the intent of these requirements will be provided as part of the Base Build scope-of-work.</t>
  </si>
  <si>
    <t>§A.a.i</t>
  </si>
  <si>
    <t>Public Safety (ERRCS) DAS: OEM: ADRF or Zinwave</t>
  </si>
  <si>
    <t>Public Safety (ERRCS) DAS: Active equipment to be UL2524 compliant</t>
  </si>
  <si>
    <t>Public Safety (ERRCS) DAS: Coordinate with local AHJ on required local frequencies/channels</t>
  </si>
  <si>
    <t>§A.a.iv</t>
  </si>
  <si>
    <t>Public Safety (ERRCS) DAS: Coordinate rooftop antenna location to ensure donor signal functionality</t>
  </si>
  <si>
    <t>§B</t>
  </si>
  <si>
    <t>Land Mobile Radio (LMR - Handheld radio) System</t>
  </si>
  <si>
    <t>See comments to §B.a through §B.c, below.</t>
  </si>
  <si>
    <t>Land Mobile Radio (LMR - Handheld radio) System: Provide Meta personnel used handheld radio system</t>
  </si>
  <si>
    <t>If required, new LMR handheld radio system can be provided for Meta personnel as part of the Tenant Fit-Out (TFO) scope-of-work.</t>
  </si>
  <si>
    <t>Land Mobile Radio (LMR - Handheld radio) System: LMR system may share infrastructure with PS DAS with AHJ approval</t>
  </si>
  <si>
    <t>Land Mobile Radio (LMR - Handheld radio) System: OEM: Motorola</t>
  </si>
  <si>
    <t>§C</t>
  </si>
  <si>
    <t>Commercial (Cellular) DAS</t>
  </si>
  <si>
    <t>See comments to §C.a through §C.c, below.</t>
  </si>
  <si>
    <t>No response received from Meta.  Digital Realty confirms that we will install a commercial (cellular) DAS system if required by the AHJ for e911.  Otherwise, item will be paid for by Meta as part of TFO NRCs.</t>
  </si>
  <si>
    <t>Commercial (Cellular) DAS: Provide a cellular DAS solution to ensure in-building cell coverage is adequate and also meets e911 requirements.</t>
  </si>
  <si>
    <t>If required by the local Authorities Having Jurisdiction (AHJ) to meet e911 requirements, a commercial (cellular) DAS meeting the intent of these requirements will be provided as part of the Base Build scope-of-work.  If not required by the AHJ, Meta may direct Landlord to provide a commercial (cellular) DAS meeting the intent of these requirements as part of the Tenant Fit-Out (TFO) scope-of-work.</t>
  </si>
  <si>
    <t>Commercial (Cellular) DAS: Landlord to obtain their own signal source from carriers (AT&amp;T, Verizon, T-mobile)</t>
  </si>
  <si>
    <t>Commercial (Cellular) DAS: Recommend over-the-air as temporary and fiber base station installed as permanent</t>
  </si>
  <si>
    <t>§C.b.ii</t>
  </si>
  <si>
    <t>Commercial (Cellular) DAS: Provide a timing source (GPS) to support carrier base stations</t>
  </si>
  <si>
    <t>Commercial (Cellular) DAS: OEMs: Commscope, Solid, ADRF, Corning</t>
  </si>
  <si>
    <t>§D</t>
  </si>
  <si>
    <t>Precision-Timing-Protocol (GPS)</t>
  </si>
  <si>
    <t>A Precision-Timing-Protocol (GPS) system will be provided as part of the Tenant Fit-Out (TFO) scope-of-work.</t>
  </si>
  <si>
    <t>Precision-Timing-Protocol (GPS): Landlord to provide PTP pathway/infrastructure to accommodate 4 (four) PTP antennas</t>
  </si>
  <si>
    <t>A Precision-Timing-Protocol (GPS) system with pathway/infrastructure to support four (4) PTP antennas will be provided as part of the Tenant Fit-Out (TFO) scope-of-work.</t>
  </si>
  <si>
    <t>Precision-Timing-Protocol (GPS): Each PTP antenna is provided by Meta with a pre-terminated cable length attached. Coordinate length with Meta. The antenna OEN is Huber Suhner GPS over fiber.</t>
  </si>
  <si>
    <t>Precision-Timing-Protocol (GPS): Generally, the PTP antennas terminate to support each network suite (MDF), and coordinate final rack locations with Meta.</t>
  </si>
  <si>
    <t>Precision-Timing-Protocol (GPS): Landlord to provide two-inch or greater roof penetration with an independent pathway for each network suite</t>
  </si>
  <si>
    <t>Precision-Timing-Protocol (GPS): A two-inch mast pipe to mount each antenna</t>
  </si>
  <si>
    <t>Precision-Timing-Protocol (GPS): Cable Containment from the antenna mast to the roof penetration</t>
  </si>
  <si>
    <t>Precision-Timing-Protocol (GPS): Continuous pathway from roof penetration to spaces dedicated for meta use</t>
  </si>
  <si>
    <t>Precision-Timing-Protocol (GPS): All cable pathways must maintain a bend radius of greater than 6 inches</t>
  </si>
  <si>
    <t>§D.d.v</t>
  </si>
  <si>
    <t>Precision-Timing-Protocol (GPS): Antennas must be mounted below the nearest lightning arresting air terminal</t>
  </si>
  <si>
    <t>§D.d.vi</t>
  </si>
  <si>
    <t>Precision-Timing-Protocol (GPS): At the minimum, a 180-degree view of the southern sky is required</t>
  </si>
  <si>
    <t>§D.d.vii</t>
  </si>
  <si>
    <t>Precision-Timing-Protocol (GPS): No obstructions should be within a ten-degree angle from the horizon</t>
  </si>
  <si>
    <t>§D.d.viii</t>
  </si>
  <si>
    <t>Precision-Timing-Protocol (GPS): The antenna mast should be 6 feet away from metallic reflectors</t>
  </si>
  <si>
    <t>§D.e</t>
  </si>
  <si>
    <t>Precision-Timing-Protocol (GPS): Due to the class-4 lasers contained within the PTP system, Laser Warning signs should be incorporated into the design of PTP antenna locations</t>
  </si>
  <si>
    <t>Comply Count</t>
  </si>
  <si>
    <t>Deviate Count</t>
  </si>
  <si>
    <t>Exception Count</t>
  </si>
  <si>
    <t>DLR / SE Proprosed Stance</t>
  </si>
  <si>
    <t>Responsible Party</t>
  </si>
  <si>
    <t>Needs Attention</t>
  </si>
  <si>
    <t>Wall mounted objects (fire extinguishers, AEDs, etc.) may protrude into the corridor.</t>
  </si>
  <si>
    <t>[KOB] To the best of our ability, all corridor and pathway wall mounted objects shall be in flush mounted enclosures at Meta's expense</t>
  </si>
  <si>
    <t>Wall mounted objects will be present on both sides of the corridor.</t>
  </si>
  <si>
    <t>Ground bar locations will be shown in construction doucments which will be shared with Meta for their approval during the construction process already addressed in the TFO and lease process.</t>
  </si>
  <si>
    <t>Programming &amp; Circulation, Corridors and Pathway, Freight Elevators: Provide wall-mirrors around elevators as a safety measure due to heavy PIV/pedestrian traffic and blind corners</t>
  </si>
  <si>
    <t>We do not install by default, but can install per Meta's request and cost.</t>
  </si>
  <si>
    <t>[KOB] Comply.</t>
  </si>
  <si>
    <t>[KOB] Request submitted to D&amp;C</t>
  </si>
  <si>
    <t>Design services and construction administration for certain aspects of mechanical, electrical, BMS/controls, plumbing, fire protection, architectural, and structural systems will be provided as part of Tenant Fit-Out (TFO) scope of work.  All design services and construction administration for AV (audio visual) systems will be provided as part of Tenant Fit-Out (TFO) scope of work.  Food services design, build-out, and construction administration services will not be provided by Landlord.</t>
  </si>
  <si>
    <t>Room naming and numbering will be as detailed and shown in the Landlord's architectural drawings, plans, and specifications and will follow the Landlord's room naming and numbering standards. Secondary/dual room names and numbers which adhere to Meta Room Naming and Numbering Standards can be added as part of Tenant Fit-Out (TFO) scope of work.</t>
  </si>
  <si>
    <t>Meta may label the rooms per a nomenclautre they accept at their sole cost as part of the TFO process</t>
  </si>
  <si>
    <t>Room naming and numbering will be as detailed and shown in the Landlord's architectural drawings, plans, and specifications and will follow the Landlord's room naming and numbering standards. Adherance to Meta Room Naming and Numbering Standards will be determined as part of Tenant Fit-Out (TFO) scope of work.</t>
  </si>
  <si>
    <t>Room naming and numbering will be as detailed and shown in the Landlord's architectural drawings, plans, and specifications and will follow the Landlord's room naming and numbering standards.</t>
  </si>
  <si>
    <t>Room signage will comply with all code and local AHJ requirements and will be as detailed and shown in the Landlord's architectural drawings, plans, and specifications and will follow the Landlord's room naming and numbering standards. Secondary/dual room names and numbers which adhere to Meta Room Naming and Numbering Standards can be added as part of Tenant Fit-Out (TFO) scope of work.</t>
  </si>
  <si>
    <t>Room signage will be as detailed and shown in the Landlord's architectural drawings, plans, and specifications and will follow the Landlord's room naming and numbering standards. Secondary/dual room names and numbers which adhere to Meta Room Naming and Numbering Standards can be added as part of Tenant Fit-Out (TFO) scope of work.</t>
  </si>
  <si>
    <t>Any and all signage required by Meta to conform to Meta "Data Center Signage Guidelines" requirements will be provided as part of Tenant Fit-Out (TFO) scope of work. Compliance with, deviation from, or exception to Meta "Data Center Signage Guidelines" requirements will be determined as part of Tenant Fit-Out (TFO) scope of work.</t>
  </si>
  <si>
    <t xml:space="preserve">Decision can be made during the TFO process. All suites are 80/85 liquid and air heat rejection. </t>
  </si>
  <si>
    <t>Programming &amp; Circulation, Corridors and Pathway, Freight Elevators: 15,000lbs. Weight capacity</t>
  </si>
  <si>
    <t>Programming &amp; Circulation, Corridors and Pathway, Freight Elevators: Located Centrally to IT Equipment Rooms and Loading Dock as possible.</t>
  </si>
  <si>
    <t>Programming &amp; Circulation, Corridors and Pathway, Freight Elevators: Interior cab dimensions min: 8’-4” width x 20-’10” depth and 9’-6” height.</t>
  </si>
  <si>
    <t>Lighting: Lighting to be LED; match landlord fixture types</t>
  </si>
  <si>
    <t>Programming &amp; Circulation, Corridors and Pathway, Freight Elevators: Minimum of two per building; three is preferred</t>
  </si>
  <si>
    <t>Programming &amp; Circulation, Corridors and Pathway, Freight Elevators: 9’ Minimum door height and 7’-3” opening width</t>
  </si>
  <si>
    <t>Base Building access control from the exterior into the loading dock is via card reader.  Two-factor authentication (card-key plus biometric) can be provided as part of the Tenant Fit-Out (TFO) scope-of-work.</t>
  </si>
  <si>
    <t>See comments to §F.a.i.1 through §F.a.i.2.c, below.</t>
  </si>
  <si>
    <t>Compliance with, deviation from, or exception to space allocation and sizing requirements will be as determined in the response to each requirement in the Building Interior and Structure section.</t>
  </si>
  <si>
    <t>Landlord will provide a provisioned MMR room as part of the Tenant Fit-Out (TFO) scope-of-work.  Carrier install schedules will be as detailed with the Lease.</t>
  </si>
  <si>
    <t xml:space="preserve">Building entrance rooms (EF, POE, and POP rooms) will have ladder rack and/or fiber tray designed and installed by Landlord as part of the Base Build scope-of-work.  Redesign and moves-adds-changes for ladder racks and/or fiber trays can be provided as part of the Tenant Fit-Out (TFO) scope-of-work. </t>
  </si>
  <si>
    <t>Compliance with, deviation from, or exception to space power rating requirements will be as determined in the response to each requirement in the Power section.</t>
  </si>
  <si>
    <t>Compliance with, deviation from, or exception to space quantity and sizing requirements will be as determined in the response to each requirement in the Building Interior and Structure section.</t>
  </si>
  <si>
    <t>DLR agrees that we will wor kwith one of the selected DAS providers to have DAS installed post delivery of the datacenter suites at tennatns sole cost in the TFO</t>
  </si>
  <si>
    <t>Part</t>
  </si>
  <si>
    <t>g</t>
  </si>
  <si>
    <t>Digital Realty to investigate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</si>
</sst>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2"/>
      <color theme="1"/>
      <name val="Times New Roman"/>
      <family val="1"/>
    </font>
    <font>
      <u/>
      <sz val="12"/>
      <color theme="1"/>
      <name val="Times New Roman"/>
      <family val="1"/>
    </font>
    <font>
      <i/>
      <sz val="12"/>
      <color theme="1"/>
      <name val="Times New Roman"/>
      <family val="1"/>
    </font>
    <font>
      <sz val="12"/>
      <color theme="1"/>
      <name val="Calibri"/>
      <family val="2"/>
    </font>
    <font>
      <sz val="12"/>
      <color rgb="FFFF0000"/>
      <name val="Times New Roman"/>
      <family val="1"/>
    </font>
    <font>
      <b/>
      <sz val="12"/>
      <color theme="0"/>
      <name val="Times New Roman"/>
      <family val="1"/>
    </font>
    <font>
      <b/>
      <sz val="12"/>
      <color rgb="FFFF0000"/>
      <name val="Times New Roman"/>
      <family val="1"/>
    </font>
    <font>
      <sz val="12"/>
      <color theme="0"/>
      <name val="Times New Roman"/>
      <family val="1"/>
    </font>
    <font>
      <sz val="12"/>
      <color rgb="FF0000FF"/>
      <name val="Times New Roman"/>
      <family val="1"/>
    </font>
    <font>
      <b/>
      <sz val="10"/>
      <color rgb="FFFF0000"/>
      <name val="Arial"/>
      <family val="2"/>
    </font>
    <font>
      <b/>
      <strike/>
      <sz val="12"/>
      <color rgb="FFFF0000"/>
      <name val="Times New Roman"/>
      <family val="1"/>
    </font>
    <font>
      <strike/>
      <sz val="12"/>
      <color rgb="FFFF0000"/>
      <name val="Times New Roman"/>
      <family val="1"/>
    </font>
    <font>
      <sz val="12"/>
      <color rgb="FF0000FF"/>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5" tint="0.39997558519241921"/>
        <bgColor indexed="64"/>
      </patternFill>
    </fill>
    <fill>
      <patternFill patternType="solid">
        <fgColor rgb="FF0000FF"/>
        <bgColor indexed="64"/>
      </patternFill>
    </fill>
    <fill>
      <patternFill patternType="solid">
        <fgColor theme="1"/>
        <bgColor indexed="64"/>
      </patternFill>
    </fill>
    <fill>
      <patternFill patternType="solid">
        <fgColor theme="2" tint="-9.9978637043366805E-2"/>
        <bgColor indexed="64"/>
      </patternFill>
    </fill>
    <fill>
      <patternFill patternType="solid">
        <fgColor them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3">
    <xf numFmtId="0" fontId="0" fillId="0" borderId="0" xfId="0"/>
    <xf numFmtId="0" fontId="0" fillId="0" borderId="0" xfId="0" applyAlignment="1">
      <alignment wrapText="1"/>
    </xf>
    <xf numFmtId="0" fontId="18" fillId="0" borderId="0" xfId="0" applyFont="1" applyAlignment="1">
      <alignment horizontal="center" vertical="center" wrapText="1"/>
    </xf>
    <xf numFmtId="0" fontId="18" fillId="0" borderId="0" xfId="0" applyFont="1" applyAlignment="1">
      <alignment horizontal="center" vertical="center"/>
    </xf>
    <xf numFmtId="0" fontId="18" fillId="0" borderId="10" xfId="0" applyFont="1" applyBorder="1" applyAlignment="1">
      <alignment horizontal="center" vertical="top"/>
    </xf>
    <xf numFmtId="0" fontId="18" fillId="0" borderId="10" xfId="0" applyFont="1" applyBorder="1" applyAlignment="1">
      <alignment horizontal="left" vertical="top" wrapText="1" indent="1"/>
    </xf>
    <xf numFmtId="0" fontId="18" fillId="0" borderId="10" xfId="0" applyFont="1" applyBorder="1" applyAlignment="1">
      <alignment horizontal="center" vertical="top" wrapText="1"/>
    </xf>
    <xf numFmtId="0" fontId="18" fillId="0" borderId="10" xfId="0" applyFont="1" applyBorder="1" applyAlignment="1">
      <alignment horizontal="left" vertical="top" indent="1"/>
    </xf>
    <xf numFmtId="0" fontId="18" fillId="0" borderId="0" xfId="0" applyFont="1" applyAlignment="1">
      <alignment horizontal="left" vertical="top"/>
    </xf>
    <xf numFmtId="0" fontId="18"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wrapText="1"/>
    </xf>
    <xf numFmtId="0" fontId="22" fillId="0" borderId="10" xfId="0" applyFont="1" applyBorder="1" applyAlignment="1">
      <alignment horizontal="left" vertical="top" wrapText="1"/>
    </xf>
    <xf numFmtId="0" fontId="18" fillId="33" borderId="10" xfId="0" applyFont="1" applyFill="1" applyBorder="1" applyAlignment="1">
      <alignment horizontal="center" vertical="top" wrapText="1"/>
    </xf>
    <xf numFmtId="0" fontId="22" fillId="33" borderId="10" xfId="0" applyFont="1" applyFill="1" applyBorder="1" applyAlignment="1">
      <alignment horizontal="left" vertical="top" wrapText="1"/>
    </xf>
    <xf numFmtId="0" fontId="18" fillId="0" borderId="10" xfId="0" applyFont="1" applyBorder="1" applyAlignment="1">
      <alignment horizontal="left" vertical="top" wrapText="1"/>
    </xf>
    <xf numFmtId="0" fontId="18" fillId="33" borderId="10" xfId="0" applyFont="1" applyFill="1" applyBorder="1" applyAlignment="1">
      <alignment horizontal="left" vertical="top" wrapText="1"/>
    </xf>
    <xf numFmtId="0" fontId="18" fillId="34" borderId="10" xfId="0" applyFont="1" applyFill="1" applyBorder="1" applyAlignment="1">
      <alignment horizontal="center" vertical="top" wrapText="1"/>
    </xf>
    <xf numFmtId="0" fontId="18" fillId="34" borderId="10" xfId="0" applyFont="1" applyFill="1" applyBorder="1" applyAlignment="1">
      <alignment horizontal="left" vertical="top" wrapText="1"/>
    </xf>
    <xf numFmtId="0" fontId="22" fillId="34" borderId="10" xfId="0" applyFont="1" applyFill="1" applyBorder="1" applyAlignment="1">
      <alignment horizontal="left" vertical="top" wrapText="1"/>
    </xf>
    <xf numFmtId="0" fontId="18" fillId="35" borderId="10" xfId="0" applyFont="1" applyFill="1" applyBorder="1" applyAlignment="1">
      <alignment horizontal="center" vertical="top" wrapText="1"/>
    </xf>
    <xf numFmtId="0" fontId="18" fillId="36" borderId="10" xfId="0" applyFont="1" applyFill="1" applyBorder="1" applyAlignment="1">
      <alignment horizontal="center" vertical="top" wrapText="1"/>
    </xf>
    <xf numFmtId="0" fontId="18" fillId="36" borderId="10" xfId="0" applyFont="1" applyFill="1" applyBorder="1" applyAlignment="1">
      <alignment horizontal="left" vertical="top" wrapText="1"/>
    </xf>
    <xf numFmtId="0" fontId="22" fillId="36" borderId="10" xfId="0" applyFont="1" applyFill="1" applyBorder="1" applyAlignment="1">
      <alignment horizontal="left" vertical="top" wrapText="1"/>
    </xf>
    <xf numFmtId="0" fontId="18" fillId="0" borderId="0" xfId="0" applyFont="1" applyAlignment="1">
      <alignment vertical="center"/>
    </xf>
    <xf numFmtId="0" fontId="26" fillId="0" borderId="10" xfId="0" applyFont="1" applyBorder="1" applyAlignment="1">
      <alignment horizontal="left" vertical="top" wrapText="1"/>
    </xf>
    <xf numFmtId="0" fontId="18" fillId="37" borderId="11" xfId="0" applyFont="1" applyFill="1" applyBorder="1" applyAlignment="1">
      <alignment horizontal="center" vertical="center" wrapText="1"/>
    </xf>
    <xf numFmtId="0" fontId="18" fillId="37" borderId="12" xfId="0" applyFont="1" applyFill="1" applyBorder="1" applyAlignment="1">
      <alignment horizontal="center" vertical="center" wrapText="1"/>
    </xf>
    <xf numFmtId="0" fontId="23" fillId="37" borderId="13" xfId="0" applyFont="1" applyFill="1" applyBorder="1" applyAlignment="1">
      <alignment horizontal="center" vertical="center" wrapText="1"/>
    </xf>
    <xf numFmtId="0" fontId="26" fillId="0" borderId="10" xfId="0" applyFont="1" applyBorder="1" applyAlignment="1">
      <alignment horizontal="center" vertical="top" wrapText="1"/>
    </xf>
    <xf numFmtId="0" fontId="26" fillId="0" borderId="10" xfId="0" applyFont="1" applyBorder="1" applyAlignment="1">
      <alignment horizontal="center" vertical="top"/>
    </xf>
    <xf numFmtId="0" fontId="24" fillId="0" borderId="10" xfId="0" applyFont="1" applyBorder="1" applyAlignment="1">
      <alignment horizontal="center" vertical="top"/>
    </xf>
    <xf numFmtId="0" fontId="0" fillId="0" borderId="0" xfId="0" applyAlignment="1">
      <alignment horizontal="center"/>
    </xf>
    <xf numFmtId="0" fontId="25" fillId="35" borderId="0" xfId="0" applyFont="1" applyFill="1" applyAlignment="1">
      <alignment horizontal="center" vertical="center" wrapText="1"/>
    </xf>
    <xf numFmtId="0" fontId="24" fillId="0" borderId="10" xfId="0" applyFont="1" applyBorder="1" applyAlignment="1">
      <alignment horizontal="center" vertical="top" wrapText="1"/>
    </xf>
    <xf numFmtId="0" fontId="24" fillId="0" borderId="10" xfId="0" applyFont="1" applyBorder="1" applyAlignment="1">
      <alignment horizontal="left" vertical="top" wrapText="1" indent="1"/>
    </xf>
    <xf numFmtId="0" fontId="22" fillId="0" borderId="10" xfId="0" applyFont="1" applyBorder="1" applyAlignment="1">
      <alignment horizontal="left" vertical="top" wrapText="1" indent="1"/>
    </xf>
    <xf numFmtId="0" fontId="25" fillId="38" borderId="10" xfId="0" applyFont="1" applyFill="1" applyBorder="1" applyAlignment="1">
      <alignment horizontal="center" vertical="top"/>
    </xf>
    <xf numFmtId="0" fontId="25" fillId="38" borderId="10" xfId="0" applyFont="1" applyFill="1" applyBorder="1" applyAlignment="1">
      <alignment horizontal="left" vertical="top" wrapText="1" indent="1"/>
    </xf>
    <xf numFmtId="0" fontId="25" fillId="38" borderId="10" xfId="0" applyFont="1" applyFill="1" applyBorder="1" applyAlignment="1">
      <alignment horizontal="left" vertical="top" wrapText="1"/>
    </xf>
    <xf numFmtId="0" fontId="25" fillId="38" borderId="10" xfId="0" applyFont="1" applyFill="1" applyBorder="1" applyAlignment="1">
      <alignment horizontal="center" vertical="top" wrapText="1"/>
    </xf>
    <xf numFmtId="0" fontId="26" fillId="33" borderId="10" xfId="0" applyFont="1" applyFill="1" applyBorder="1" applyAlignment="1">
      <alignment horizontal="center" vertical="top" wrapText="1"/>
    </xf>
    <xf numFmtId="0" fontId="18" fillId="34" borderId="10" xfId="0" applyFont="1" applyFill="1" applyBorder="1" applyAlignment="1">
      <alignment horizontal="center" vertical="top"/>
    </xf>
    <xf numFmtId="0" fontId="18" fillId="34" borderId="10" xfId="0" applyFont="1" applyFill="1" applyBorder="1" applyAlignment="1">
      <alignment horizontal="left" vertical="top" wrapText="1" indent="1"/>
    </xf>
    <xf numFmtId="0" fontId="26" fillId="34" borderId="10" xfId="0" applyFont="1" applyFill="1" applyBorder="1" applyAlignment="1">
      <alignment horizontal="center" vertical="top" wrapText="1"/>
    </xf>
    <xf numFmtId="0" fontId="26" fillId="34" borderId="10" xfId="0" applyFont="1" applyFill="1" applyBorder="1" applyAlignment="1">
      <alignment horizontal="left" vertical="top" wrapText="1"/>
    </xf>
    <xf numFmtId="0" fontId="26" fillId="34" borderId="10" xfId="0" applyFont="1" applyFill="1" applyBorder="1" applyAlignment="1">
      <alignment horizontal="center" vertical="top"/>
    </xf>
    <xf numFmtId="0" fontId="24" fillId="34" borderId="10" xfId="0" applyFont="1" applyFill="1" applyBorder="1" applyAlignment="1">
      <alignment horizontal="center" vertical="top" wrapText="1"/>
    </xf>
    <xf numFmtId="0" fontId="18" fillId="39" borderId="10" xfId="0" applyFont="1" applyFill="1" applyBorder="1" applyAlignment="1">
      <alignment horizontal="center" vertical="top"/>
    </xf>
    <xf numFmtId="0" fontId="18" fillId="39" borderId="10" xfId="0" applyFont="1" applyFill="1" applyBorder="1" applyAlignment="1">
      <alignment horizontal="left" vertical="top" wrapText="1" indent="1"/>
    </xf>
    <xf numFmtId="0" fontId="18" fillId="39" borderId="10" xfId="0" applyFont="1" applyFill="1" applyBorder="1" applyAlignment="1">
      <alignment horizontal="center" vertical="top" wrapText="1"/>
    </xf>
    <xf numFmtId="0" fontId="22" fillId="39" borderId="10" xfId="0" applyFont="1" applyFill="1" applyBorder="1" applyAlignment="1">
      <alignment horizontal="left" vertical="top" wrapText="1"/>
    </xf>
    <xf numFmtId="0" fontId="26" fillId="39" borderId="10" xfId="0" applyFont="1" applyFill="1" applyBorder="1" applyAlignment="1">
      <alignment horizontal="center" vertical="top" wrapText="1"/>
    </xf>
    <xf numFmtId="0" fontId="26" fillId="39" borderId="10" xfId="0" applyFont="1" applyFill="1" applyBorder="1" applyAlignment="1">
      <alignment horizontal="left" vertical="top" wrapText="1"/>
    </xf>
    <xf numFmtId="0" fontId="26" fillId="39" borderId="10" xfId="0" applyFont="1" applyFill="1" applyBorder="1" applyAlignment="1">
      <alignment horizontal="center" vertical="top"/>
    </xf>
    <xf numFmtId="0" fontId="26" fillId="39" borderId="10" xfId="0" quotePrefix="1" applyFont="1" applyFill="1" applyBorder="1" applyAlignment="1">
      <alignment horizontal="center" vertical="top" wrapText="1"/>
    </xf>
    <xf numFmtId="0" fontId="24" fillId="39" borderId="10" xfId="0" applyFont="1" applyFill="1" applyBorder="1" applyAlignment="1">
      <alignment horizontal="center" vertical="top" wrapText="1"/>
    </xf>
    <xf numFmtId="0" fontId="24" fillId="39" borderId="10" xfId="0" applyFont="1" applyFill="1" applyBorder="1" applyAlignment="1">
      <alignment horizontal="left" vertical="top" wrapText="1" indent="1"/>
    </xf>
    <xf numFmtId="0" fontId="18" fillId="37" borderId="13" xfId="0" applyFont="1" applyFill="1" applyBorder="1" applyAlignment="1">
      <alignment horizontal="center" vertical="center" wrapText="1"/>
    </xf>
    <xf numFmtId="0" fontId="18" fillId="39" borderId="10" xfId="0" applyFont="1" applyFill="1" applyBorder="1" applyAlignment="1">
      <alignment horizontal="left" vertical="top" wrapText="1"/>
    </xf>
    <xf numFmtId="0" fontId="18" fillId="38" borderId="10" xfId="0" applyFont="1" applyFill="1" applyBorder="1" applyAlignment="1">
      <alignment horizontal="left" vertical="top" wrapText="1"/>
    </xf>
    <xf numFmtId="0" fontId="0" fillId="0" borderId="0" xfId="0" applyAlignment="1">
      <alignment horizontal="right" wrapText="1"/>
    </xf>
    <xf numFmtId="0" fontId="0" fillId="39" borderId="0" xfId="0" applyFill="1"/>
    <xf numFmtId="0" fontId="18" fillId="40" borderId="10" xfId="0" applyFont="1" applyFill="1" applyBorder="1" applyAlignment="1">
      <alignment horizontal="center" vertical="top" wrapText="1"/>
    </xf>
    <xf numFmtId="0" fontId="18" fillId="40" borderId="10" xfId="0" applyFont="1" applyFill="1" applyBorder="1" applyAlignment="1">
      <alignment horizontal="left" vertical="top" wrapText="1" indent="1"/>
    </xf>
    <xf numFmtId="0" fontId="22" fillId="40" borderId="10" xfId="0" applyFont="1" applyFill="1" applyBorder="1" applyAlignment="1">
      <alignment horizontal="left" vertical="top" wrapText="1"/>
    </xf>
    <xf numFmtId="0" fontId="26" fillId="40" borderId="10" xfId="0" applyFont="1" applyFill="1" applyBorder="1" applyAlignment="1">
      <alignment horizontal="center" vertical="top" wrapText="1"/>
    </xf>
    <xf numFmtId="0" fontId="26" fillId="40" borderId="10" xfId="0" applyFont="1" applyFill="1" applyBorder="1" applyAlignment="1">
      <alignment horizontal="left" vertical="top" wrapText="1"/>
    </xf>
    <xf numFmtId="0" fontId="18" fillId="40" borderId="10" xfId="0" applyFont="1" applyFill="1" applyBorder="1" applyAlignment="1">
      <alignment horizontal="left" vertical="top" wrapText="1"/>
    </xf>
    <xf numFmtId="0" fontId="26" fillId="40" borderId="10" xfId="0" applyFont="1" applyFill="1" applyBorder="1" applyAlignment="1">
      <alignment horizontal="center" vertical="top"/>
    </xf>
    <xf numFmtId="0" fontId="0" fillId="40" borderId="0" xfId="0" applyFill="1"/>
    <xf numFmtId="0" fontId="24" fillId="40" borderId="10" xfId="0" applyFont="1" applyFill="1" applyBorder="1" applyAlignment="1">
      <alignment horizontal="left" vertical="top" wrapText="1" indent="1"/>
    </xf>
    <xf numFmtId="0" fontId="24" fillId="40" borderId="10" xfId="0" applyFont="1" applyFill="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font>
        <b val="0"/>
        <strike val="0"/>
        <outline val="0"/>
        <shadow val="0"/>
        <u val="none"/>
        <vertAlign val="baseline"/>
        <sz val="12"/>
        <color rgb="FF0000FF"/>
        <name val="Times New Roman"/>
        <family val="1"/>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0000FF"/>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FF"/>
        <name val="Times New Roman"/>
        <family val="1"/>
        <scheme val="none"/>
      </font>
      <alignment horizontal="center"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2"/>
        <color rgb="FF0000FF"/>
        <name val="Times New Roman"/>
        <family val="1"/>
        <scheme val="none"/>
      </font>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rgb="FFFF0000"/>
        <name val="Times New Roman"/>
        <family val="1"/>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indent="0" justifyLastLine="0" shrinkToFit="0" readingOrder="0"/>
    </dxf>
    <dxf>
      <font>
        <strike val="0"/>
        <outline val="0"/>
        <shadow val="0"/>
        <u val="none"/>
        <vertAlign val="baseline"/>
        <sz val="12"/>
        <color theme="1"/>
        <name val="Times New Roman"/>
        <family val="1"/>
        <scheme val="none"/>
      </font>
      <alignment horizontal="center" vertical="center" textRotation="0" indent="0" justifyLastLine="0" shrinkToFit="0" readingOrder="0"/>
    </dxf>
    <dxf>
      <font>
        <strike val="0"/>
        <outline val="0"/>
        <shadow val="0"/>
        <u val="none"/>
        <vertAlign val="baseline"/>
        <sz val="12"/>
        <color theme="1"/>
        <name val="Times New Roman"/>
        <family val="1"/>
        <scheme val="none"/>
      </font>
      <alignment horizontal="left" vertical="top" textRotation="0" indent="0" justifyLastLine="0" shrinkToFit="0" readingOrder="0"/>
    </dxf>
    <dxf>
      <font>
        <strike val="0"/>
        <outline val="0"/>
        <shadow val="0"/>
        <u val="none"/>
        <vertAlign val="baseline"/>
        <sz val="12"/>
        <color theme="1"/>
        <name val="Times New Roman"/>
        <family val="1"/>
        <scheme val="none"/>
      </font>
      <alignment horizontal="left" vertical="top" textRotation="0" indent="0" justifyLastLine="0" shrinkToFit="0" readingOrder="0"/>
    </dxf>
    <dxf>
      <font>
        <strike val="0"/>
        <outline val="0"/>
        <shadow val="0"/>
        <u val="none"/>
        <vertAlign val="baseline"/>
        <sz val="12"/>
        <color theme="1"/>
        <name val="Times New Roman"/>
        <family val="1"/>
        <scheme val="none"/>
      </font>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rgb="FFFF0000"/>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family val="1"/>
        <scheme val="none"/>
      </font>
      <alignment horizontal="left" vertical="top"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indent="0" justifyLastLine="0" shrinkToFit="0" readingOrder="0"/>
    </dxf>
    <dxf>
      <font>
        <strike val="0"/>
        <outline val="0"/>
        <shadow val="0"/>
        <u val="none"/>
        <vertAlign val="baseline"/>
        <sz val="12"/>
        <color theme="1"/>
        <name val="Times New Roman"/>
        <family val="1"/>
        <scheme val="none"/>
      </font>
      <alignment vertical="center" textRotation="0" indent="0" justifyLastLine="0" shrinkToFit="0" readingOrder="0"/>
    </dxf>
    <dxf>
      <font>
        <strike val="0"/>
        <outline val="0"/>
        <shadow val="0"/>
        <u val="none"/>
        <vertAlign val="baseline"/>
        <sz val="12"/>
        <color theme="1"/>
        <name val="Times New Roman"/>
        <family val="1"/>
        <scheme val="none"/>
      </font>
      <alignment horizontal="left" vertical="top" textRotation="0" wrapText="1" indent="0" justifyLastLine="0" shrinkToFit="0" readingOrder="0"/>
    </dxf>
    <dxf>
      <font>
        <b val="0"/>
        <strike val="0"/>
        <outline val="0"/>
        <shadow val="0"/>
        <u val="none"/>
        <vertAlign val="baseline"/>
        <sz val="12"/>
        <color rgb="FF0000FF"/>
        <name val="Times New Roman"/>
        <family val="1"/>
        <scheme val="none"/>
      </font>
      <alignment horizontal="left" vertical="top"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2"/>
        <color rgb="FF0000FF"/>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FF"/>
        <name val="Times New Roman"/>
        <family val="1"/>
        <scheme val="none"/>
      </font>
      <alignment horizontal="center" vertical="top" textRotation="0" wrapText="1"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2"/>
        <color rgb="FF0000FF"/>
        <name val="Times New Roman"/>
        <family val="1"/>
        <scheme val="none"/>
      </font>
      <alignment horizontal="center" vertical="top" textRotation="0" wrapText="1"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rgb="FFFF0000"/>
        <name val="Times New Roman"/>
        <family val="1"/>
        <scheme val="none"/>
      </font>
      <alignment horizontal="left" vertical="top" textRotation="0" wrapText="1"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wrapText="1"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left" vertical="top" textRotation="0" wrapText="1" indent="0" justifyLastLine="0" shrinkToFit="0" readingOrder="0"/>
    </dxf>
    <dxf>
      <font>
        <strike val="0"/>
        <outline val="0"/>
        <shadow val="0"/>
        <u val="none"/>
        <vertAlign val="baseline"/>
        <sz val="12"/>
        <color theme="1"/>
        <name val="Times New Roman"/>
        <family val="1"/>
        <scheme val="none"/>
      </font>
      <alignment horizontal="center" vertical="center" textRotation="0" indent="0" justifyLastLine="0" shrinkToFit="0" readingOrder="0"/>
    </dxf>
    <dxf>
      <fill>
        <patternFill>
          <bgColor rgb="FF92D050"/>
        </patternFill>
      </fill>
    </dxf>
    <dxf>
      <fill>
        <patternFill>
          <bgColor rgb="FFFFFF00"/>
        </patternFill>
      </fill>
    </dxf>
    <dxf>
      <fill>
        <patternFill>
          <bgColor rgb="FFFF0000"/>
        </patternFill>
      </fill>
    </dxf>
    <dxf>
      <fill>
        <patternFill>
          <bgColor rgb="FFFF0000"/>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Kerry O'Brien" id="{39EB030C-9678-4930-9D76-5111FEB718AB}" userId="S::kobrien@digitalrealty.com::16272047-afd2-4d3c-9744-53de1313326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6C5D65-8534-484F-9494-0754CAF40DF5}" name="Table1" displayName="Table1" ref="A2:N413" totalsRowShown="0" headerRowDxfId="43" dataDxfId="42">
  <tableColumns count="14">
    <tableColumn id="1" xr3:uid="{83EBB557-C113-477D-978C-A01BF4B359D1}" name="Page # reference" dataDxfId="41"/>
    <tableColumn id="6" xr3:uid="{FA00CE48-A557-498A-AC08-FE267FF2BB98}" name="Section" dataDxfId="40"/>
    <tableColumn id="8" xr3:uid="{A66D8864-AEF7-4C31-862B-DCDA66F70057}" name="Subsection" dataDxfId="39"/>
    <tableColumn id="2" xr3:uid="{6755ADAA-F397-42F4-ADC4-C3B56F43FDFA}" name="Requirement" dataDxfId="38"/>
    <tableColumn id="3" xr3:uid="{5CB9B4AE-69B3-44F5-B44F-79956017ABE5}" name="Scope" dataDxfId="37"/>
    <tableColumn id="4" xr3:uid="{A28CBE50-5821-4737-9F69-6198FF01EDFE}" name="CDE" dataDxfId="36"/>
    <tableColumn id="13" xr3:uid="{F5865E17-C498-431E-94A4-479CDBFB5644}" name="Status" dataDxfId="35"/>
    <tableColumn id="5" xr3:uid="{83D0A2B5-7EA6-465C-B286-15383DFA3B0D}" name="Landlord comment" dataDxfId="34"/>
    <tableColumn id="7" xr3:uid="{6BC303A5-A58D-4B5E-9368-B9B66261EE31}" name="Meta Response" dataDxfId="33"/>
    <tableColumn id="10" xr3:uid="{372A5A86-A2ED-4BC6-B86D-8E6B38B709DF}" name="Paid By" dataDxfId="32"/>
    <tableColumn id="11" xr3:uid="{5DA686C3-B5BF-44C0-B3E5-18A57D1BE1FE}" name="Complexity" dataDxfId="31"/>
    <tableColumn id="12" xr3:uid="{6DBF28F9-EE56-4457-85A8-0D6D86179133}" name="Jbrunen Response" dataDxfId="30"/>
    <tableColumn id="9" xr3:uid="{BF8314B6-A2E0-4A21-B916-D7C80B119771}" name="CRitsema Responses" dataDxfId="29"/>
    <tableColumn id="14" xr3:uid="{6D47ABA8-1F0C-4803-9CEC-AFAB903C2412}" name="DLR Final Response"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F43C74-20E5-4D94-98CA-066A055AAF37}" name="Table13" displayName="Table13" ref="A1:K412" totalsRowShown="0" headerRowDxfId="27" dataDxfId="26">
  <autoFilter ref="A1:K412" xr:uid="{97F43C74-20E5-4D94-98CA-066A055AAF37}">
    <filterColumn colId="5">
      <filters>
        <filter val="Comply (part); Deviation (part)"/>
        <filter val="Comply (part); Deviation (part); Exception (part)"/>
        <filter val="Comply (part); Exception (part)"/>
        <filter val="Deviate"/>
        <filter val="Deviation"/>
        <filter val="Exception"/>
      </filters>
    </filterColumn>
  </autoFilter>
  <sortState xmlns:xlrd2="http://schemas.microsoft.com/office/spreadsheetml/2017/richdata2" ref="A2:K398">
    <sortCondition descending="1" ref="H1:H412"/>
  </sortState>
  <tableColumns count="11">
    <tableColumn id="1" xr3:uid="{1F6BAC89-920E-4DAB-8DB4-1DAFC2F28DE0}" name="Page # reference" dataDxfId="25"/>
    <tableColumn id="6" xr3:uid="{8F292D07-D8DC-4F3E-BE34-B872511BB06A}" name="Section" dataDxfId="24"/>
    <tableColumn id="8" xr3:uid="{329B92A4-01E0-4598-BBA8-52BC0700C8F0}" name="Subsection" dataDxfId="23"/>
    <tableColumn id="2" xr3:uid="{57583BDB-953B-4BA5-AEEC-22296BF05D38}" name="Requirement" dataDxfId="22"/>
    <tableColumn id="3" xr3:uid="{4158748E-635E-49C8-BC05-2481D25A52E7}" name="Scope" dataDxfId="21"/>
    <tableColumn id="4" xr3:uid="{76CF7498-40D0-44CA-864C-6DB31D9056CB}" name="CDE" dataDxfId="20"/>
    <tableColumn id="5" xr3:uid="{EF59D58A-9333-4998-A450-ED10BEF6C372}" name="Landlord comment" dataDxfId="19"/>
    <tableColumn id="7" xr3:uid="{772994C7-1702-43DD-8C16-6DCA6646110A}" name="Meta Response" dataDxfId="18"/>
    <tableColumn id="9" xr3:uid="{39CA4829-FEDC-4166-9523-80ACEA25E37C}" name="DLR / SE Proprosed Stance" dataDxfId="17"/>
    <tableColumn id="10" xr3:uid="{F2D3EE3B-662B-40AB-A6B2-FBAE53BA4FC6}" name="Responsible Party" dataDxfId="16"/>
    <tableColumn id="11" xr3:uid="{14CBD7AC-E492-4ECA-8934-EFF0AABC766C}" name="Needs Attention"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A84F31-BB90-4AE6-B9B8-FD0D9864CF17}" name="Table15" displayName="Table15" ref="A1:M412" totalsRowShown="0" headerRowDxfId="14" dataDxfId="13">
  <tableColumns count="13">
    <tableColumn id="1" xr3:uid="{533D21AA-F575-46A1-9245-5A4D755BFAC7}" name="Page # reference" dataDxfId="12"/>
    <tableColumn id="6" xr3:uid="{E0BD8F5A-77B9-46DB-9C91-E37C725CEC2B}" name="Section" dataDxfId="11"/>
    <tableColumn id="8" xr3:uid="{65E4DD12-7F88-45C6-93C2-3973BA0AFAA4}" name="Subsection" dataDxfId="10"/>
    <tableColumn id="2" xr3:uid="{C30BF852-1EE8-4342-9E60-99187EF14184}" name="Requirement" dataDxfId="9"/>
    <tableColumn id="3" xr3:uid="{C741250B-FB32-4965-BD2D-AB6153F8D6B7}" name="Scope" dataDxfId="8"/>
    <tableColumn id="4" xr3:uid="{F2440B31-B4CE-4C28-9E65-88EF70679227}" name="CDE" dataDxfId="7"/>
    <tableColumn id="13" xr3:uid="{A66E69A5-5BE0-46BA-9CFD-6888D90C5591}" name="Status" dataDxfId="6"/>
    <tableColumn id="5" xr3:uid="{E721B9B7-5FE0-461D-8AA9-F12D1A8D8197}" name="Landlord comment" dataDxfId="5"/>
    <tableColumn id="7" xr3:uid="{A3F7F540-0170-48BA-A4E5-8A5055322D37}" name="Meta Response" dataDxfId="4"/>
    <tableColumn id="10" xr3:uid="{6EE22BF9-32C3-492C-8E8F-E9C10D95CE47}" name="Paid By" dataDxfId="3"/>
    <tableColumn id="11" xr3:uid="{084065AC-7015-4FC4-BE8E-7EE54FED0884}" name="Complexity" dataDxfId="2"/>
    <tableColumn id="12" xr3:uid="{756B4D3B-159D-44AF-9D4A-E3ACF4BAC449}" name="Jbrunen Response" dataDxfId="1"/>
    <tableColumn id="9" xr3:uid="{1061BFFB-1DE4-4F17-976D-2AD24F472200}" name="CRitsema Respon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65" dT="2026-03-12T16:47:52.78" personId="{39EB030C-9678-4930-9D76-5111FEB718AB}" id="{7C146B12-5AD9-4EAD-93AC-25A59EE3AAB0}">
    <text>Unless Meta agrees to pay for additional FWUs to decrease to 22FdT</text>
  </threadedComment>
  <threadedComment ref="N66" dT="2026-03-12T16:48:49.36" personId="{39EB030C-9678-4930-9D76-5111FEB718AB}" id="{35CA8BAE-A77C-43A8-B9B2-8647431986A1}">
    <text>Unless Meta agrees to pay for additional FWUs to increase to 158 CFM/kW requirement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EBDA-F2C8-440E-9679-2B7A8164447A}">
  <dimension ref="A1:O419"/>
  <sheetViews>
    <sheetView showGridLines="0" tabSelected="1" zoomScale="90" zoomScaleNormal="90" workbookViewId="0">
      <pane xSplit="13680" topLeftCell="L1" activePane="topRight"/>
      <selection pane="topRight" activeCell="M296" sqref="M296"/>
      <selection activeCell="A5" sqref="A5"/>
    </sheetView>
  </sheetViews>
  <sheetFormatPr defaultRowHeight="12.75" customHeight="1"/>
  <cols>
    <col min="1" max="1" width="8.7109375" customWidth="1"/>
    <col min="2" max="2" width="9" customWidth="1"/>
    <col min="3" max="3" width="12.42578125" customWidth="1"/>
    <col min="4" max="4" width="55.5703125" style="1" customWidth="1"/>
    <col min="5" max="5" width="18.5703125" style="1" customWidth="1"/>
    <col min="6" max="6" width="30" customWidth="1"/>
    <col min="7" max="7" width="16.28515625" bestFit="1" customWidth="1"/>
    <col min="8" max="8" width="65.85546875" style="1" customWidth="1"/>
    <col min="9" max="9" width="35.5703125" style="11" customWidth="1"/>
    <col min="10" max="10" width="35.42578125" style="11" customWidth="1"/>
    <col min="11" max="11" width="13.5703125" style="11" customWidth="1"/>
    <col min="12" max="12" width="35.5703125" style="11" customWidth="1"/>
    <col min="13" max="13" width="80.85546875" style="1" customWidth="1"/>
    <col min="14" max="14" width="41.42578125" style="1" customWidth="1"/>
    <col min="15" max="15" width="26.85546875" customWidth="1"/>
  </cols>
  <sheetData>
    <row r="1" spans="1:15" ht="12.95">
      <c r="F1" s="32" t="s">
        <v>0</v>
      </c>
      <c r="G1" s="32"/>
      <c r="K1" s="32" t="s">
        <v>1</v>
      </c>
      <c r="L1" s="32"/>
    </row>
    <row r="2" spans="1:15" ht="45">
      <c r="A2" s="2" t="s">
        <v>2</v>
      </c>
      <c r="B2" s="2" t="s">
        <v>3</v>
      </c>
      <c r="C2" s="2" t="s">
        <v>4</v>
      </c>
      <c r="D2" s="2" t="s">
        <v>5</v>
      </c>
      <c r="E2" s="2" t="s">
        <v>6</v>
      </c>
      <c r="F2" s="3" t="s">
        <v>7</v>
      </c>
      <c r="G2" s="3" t="s">
        <v>8</v>
      </c>
      <c r="H2" s="2" t="s">
        <v>9</v>
      </c>
      <c r="I2" s="33" t="s">
        <v>10</v>
      </c>
      <c r="J2" s="26" t="s">
        <v>11</v>
      </c>
      <c r="K2" s="27" t="s">
        <v>12</v>
      </c>
      <c r="L2" s="27" t="s">
        <v>13</v>
      </c>
      <c r="M2" s="27" t="s">
        <v>14</v>
      </c>
      <c r="N2" s="58" t="s">
        <v>15</v>
      </c>
      <c r="O2" s="28" t="s">
        <v>16</v>
      </c>
    </row>
    <row r="3" spans="1:15" s="70" customFormat="1" ht="46.5">
      <c r="A3" s="63">
        <v>5</v>
      </c>
      <c r="B3" s="63" t="s">
        <v>17</v>
      </c>
      <c r="C3" s="63" t="s">
        <v>18</v>
      </c>
      <c r="D3" s="64" t="s">
        <v>19</v>
      </c>
      <c r="E3" s="64" t="s">
        <v>20</v>
      </c>
      <c r="F3" s="63" t="s">
        <v>21</v>
      </c>
      <c r="G3" s="63" t="s">
        <v>22</v>
      </c>
      <c r="H3" s="64" t="s">
        <v>23</v>
      </c>
      <c r="I3" s="65"/>
      <c r="J3" s="66" t="s">
        <v>24</v>
      </c>
      <c r="K3" s="66" t="s">
        <v>24</v>
      </c>
      <c r="L3" s="66" t="s">
        <v>24</v>
      </c>
      <c r="M3" s="67" t="s">
        <v>25</v>
      </c>
      <c r="N3" s="68" t="s">
        <v>18</v>
      </c>
      <c r="O3" s="69" t="s">
        <v>18</v>
      </c>
    </row>
    <row r="4" spans="1:15" ht="123.95">
      <c r="A4" s="6">
        <v>5</v>
      </c>
      <c r="B4" s="6" t="s">
        <v>26</v>
      </c>
      <c r="C4" s="6" t="s">
        <v>27</v>
      </c>
      <c r="D4" s="5" t="s">
        <v>28</v>
      </c>
      <c r="E4" s="5" t="s">
        <v>20</v>
      </c>
      <c r="F4" s="34" t="s">
        <v>29</v>
      </c>
      <c r="G4" s="6" t="s">
        <v>30</v>
      </c>
      <c r="H4" s="5" t="s">
        <v>31</v>
      </c>
      <c r="I4" s="12" t="s">
        <v>32</v>
      </c>
      <c r="J4" s="29" t="s">
        <v>33</v>
      </c>
      <c r="K4" s="29">
        <v>2</v>
      </c>
      <c r="L4" s="29" t="s">
        <v>34</v>
      </c>
      <c r="M4" s="25" t="s">
        <v>35</v>
      </c>
      <c r="N4" s="15" t="s">
        <v>29</v>
      </c>
      <c r="O4" s="30" t="s">
        <v>36</v>
      </c>
    </row>
    <row r="5" spans="1:15" ht="77.45">
      <c r="A5" s="6">
        <v>5</v>
      </c>
      <c r="B5" s="6" t="s">
        <v>26</v>
      </c>
      <c r="C5" s="6" t="s">
        <v>37</v>
      </c>
      <c r="D5" s="5" t="s">
        <v>38</v>
      </c>
      <c r="E5" s="5" t="s">
        <v>39</v>
      </c>
      <c r="F5" s="34" t="s">
        <v>29</v>
      </c>
      <c r="G5" s="6" t="s">
        <v>30</v>
      </c>
      <c r="H5" s="5" t="s">
        <v>40</v>
      </c>
      <c r="I5" s="12" t="s">
        <v>32</v>
      </c>
      <c r="J5" s="29" t="s">
        <v>33</v>
      </c>
      <c r="K5" s="29">
        <v>2</v>
      </c>
      <c r="L5" s="29" t="s">
        <v>34</v>
      </c>
      <c r="M5" s="25" t="s">
        <v>35</v>
      </c>
      <c r="N5" s="15" t="s">
        <v>29</v>
      </c>
      <c r="O5" s="30" t="s">
        <v>36</v>
      </c>
    </row>
    <row r="6" spans="1:15" ht="134.1" customHeight="1">
      <c r="A6" s="6">
        <v>5</v>
      </c>
      <c r="B6" s="6" t="s">
        <v>26</v>
      </c>
      <c r="C6" s="6" t="s">
        <v>41</v>
      </c>
      <c r="D6" s="5" t="s">
        <v>42</v>
      </c>
      <c r="E6" s="5" t="s">
        <v>20</v>
      </c>
      <c r="F6" s="6" t="s">
        <v>43</v>
      </c>
      <c r="G6" s="6" t="s">
        <v>22</v>
      </c>
      <c r="H6" s="5" t="s">
        <v>44</v>
      </c>
      <c r="I6" s="12" t="s">
        <v>45</v>
      </c>
      <c r="J6" s="29" t="s">
        <v>46</v>
      </c>
      <c r="K6" s="29">
        <v>1</v>
      </c>
      <c r="L6" s="29" t="s">
        <v>47</v>
      </c>
      <c r="M6" s="25" t="s">
        <v>48</v>
      </c>
      <c r="N6" s="15" t="s">
        <v>49</v>
      </c>
      <c r="O6" s="30" t="s">
        <v>18</v>
      </c>
    </row>
    <row r="7" spans="1:15" ht="46.5">
      <c r="A7" s="6">
        <v>5</v>
      </c>
      <c r="B7" s="6" t="s">
        <v>26</v>
      </c>
      <c r="C7" s="6" t="s">
        <v>50</v>
      </c>
      <c r="D7" s="5" t="s">
        <v>51</v>
      </c>
      <c r="E7" s="5" t="s">
        <v>20</v>
      </c>
      <c r="F7" s="6" t="s">
        <v>29</v>
      </c>
      <c r="G7" s="6" t="s">
        <v>22</v>
      </c>
      <c r="H7" s="5" t="s">
        <v>52</v>
      </c>
      <c r="I7" s="12"/>
      <c r="J7" s="29" t="s">
        <v>46</v>
      </c>
      <c r="K7" s="29">
        <v>1</v>
      </c>
      <c r="L7" s="29" t="s">
        <v>53</v>
      </c>
      <c r="M7" s="25" t="s">
        <v>48</v>
      </c>
      <c r="N7" s="15" t="s">
        <v>29</v>
      </c>
      <c r="O7" s="30" t="s">
        <v>18</v>
      </c>
    </row>
    <row r="8" spans="1:15" ht="46.5">
      <c r="A8" s="6">
        <v>5</v>
      </c>
      <c r="B8" s="6" t="s">
        <v>26</v>
      </c>
      <c r="C8" s="6" t="s">
        <v>54</v>
      </c>
      <c r="D8" s="5" t="s">
        <v>55</v>
      </c>
      <c r="E8" s="5" t="s">
        <v>20</v>
      </c>
      <c r="F8" s="6" t="s">
        <v>29</v>
      </c>
      <c r="G8" s="6" t="s">
        <v>22</v>
      </c>
      <c r="H8" s="5" t="s">
        <v>56</v>
      </c>
      <c r="I8" s="12"/>
      <c r="J8" s="29" t="s">
        <v>46</v>
      </c>
      <c r="K8" s="29">
        <v>1</v>
      </c>
      <c r="L8" s="29" t="s">
        <v>53</v>
      </c>
      <c r="M8" s="25" t="s">
        <v>48</v>
      </c>
      <c r="N8" s="15" t="s">
        <v>29</v>
      </c>
      <c r="O8" s="30" t="s">
        <v>18</v>
      </c>
    </row>
    <row r="9" spans="1:15" ht="62.1">
      <c r="A9" s="6">
        <v>6</v>
      </c>
      <c r="B9" s="6" t="s">
        <v>57</v>
      </c>
      <c r="C9" s="6" t="s">
        <v>18</v>
      </c>
      <c r="D9" s="5" t="s">
        <v>58</v>
      </c>
      <c r="E9" s="5" t="s">
        <v>20</v>
      </c>
      <c r="F9" s="6" t="s">
        <v>21</v>
      </c>
      <c r="G9" s="6"/>
      <c r="H9" s="5" t="s">
        <v>59</v>
      </c>
      <c r="I9" s="12"/>
      <c r="J9" s="29"/>
      <c r="K9" s="29"/>
      <c r="L9" s="29" t="s">
        <v>24</v>
      </c>
      <c r="M9" s="25"/>
      <c r="N9" s="15" t="s">
        <v>29</v>
      </c>
      <c r="O9" s="30" t="s">
        <v>36</v>
      </c>
    </row>
    <row r="10" spans="1:15" ht="62.1">
      <c r="A10" s="6">
        <v>6</v>
      </c>
      <c r="B10" s="6" t="s">
        <v>57</v>
      </c>
      <c r="C10" s="6" t="s">
        <v>18</v>
      </c>
      <c r="D10" s="5" t="s">
        <v>60</v>
      </c>
      <c r="E10" s="5" t="s">
        <v>61</v>
      </c>
      <c r="F10" s="6" t="s">
        <v>62</v>
      </c>
      <c r="G10" s="6" t="s">
        <v>30</v>
      </c>
      <c r="H10" s="5" t="s">
        <v>63</v>
      </c>
      <c r="I10" s="12" t="s">
        <v>64</v>
      </c>
      <c r="J10" s="29" t="s">
        <v>33</v>
      </c>
      <c r="K10" s="29">
        <v>2</v>
      </c>
      <c r="L10" s="29" t="s">
        <v>65</v>
      </c>
      <c r="M10" s="25"/>
      <c r="N10" s="15" t="s">
        <v>29</v>
      </c>
      <c r="O10" s="30" t="s">
        <v>36</v>
      </c>
    </row>
    <row r="11" spans="1:15" ht="93">
      <c r="A11" s="6">
        <v>6</v>
      </c>
      <c r="B11" s="6" t="s">
        <v>57</v>
      </c>
      <c r="C11" s="6" t="s">
        <v>18</v>
      </c>
      <c r="D11" s="5" t="s">
        <v>66</v>
      </c>
      <c r="E11" s="5" t="s">
        <v>39</v>
      </c>
      <c r="F11" s="34" t="s">
        <v>29</v>
      </c>
      <c r="G11" s="6" t="s">
        <v>30</v>
      </c>
      <c r="H11" s="5" t="s">
        <v>67</v>
      </c>
      <c r="I11" s="12" t="s">
        <v>68</v>
      </c>
      <c r="J11" s="29" t="s">
        <v>33</v>
      </c>
      <c r="K11" s="29">
        <v>1</v>
      </c>
      <c r="L11" s="29" t="s">
        <v>69</v>
      </c>
      <c r="M11" s="25" t="s">
        <v>35</v>
      </c>
      <c r="N11" s="15" t="s">
        <v>29</v>
      </c>
      <c r="O11" s="30" t="s">
        <v>36</v>
      </c>
    </row>
    <row r="12" spans="1:15" ht="155.1">
      <c r="A12" s="6">
        <v>6</v>
      </c>
      <c r="B12" s="6" t="s">
        <v>57</v>
      </c>
      <c r="C12" s="6" t="s">
        <v>18</v>
      </c>
      <c r="D12" s="5" t="s">
        <v>70</v>
      </c>
      <c r="E12" s="5" t="s">
        <v>39</v>
      </c>
      <c r="F12" s="6" t="s">
        <v>21</v>
      </c>
      <c r="G12" s="6" t="s">
        <v>30</v>
      </c>
      <c r="H12" s="5" t="s">
        <v>71</v>
      </c>
      <c r="I12" s="12" t="s">
        <v>72</v>
      </c>
      <c r="J12" s="29" t="s">
        <v>33</v>
      </c>
      <c r="K12" s="29">
        <v>3</v>
      </c>
      <c r="L12" s="29" t="s">
        <v>73</v>
      </c>
      <c r="M12" s="25" t="s">
        <v>74</v>
      </c>
      <c r="N12" s="15" t="s">
        <v>29</v>
      </c>
      <c r="O12" s="30" t="s">
        <v>36</v>
      </c>
    </row>
    <row r="13" spans="1:15" s="70" customFormat="1" ht="62.1">
      <c r="A13" s="63">
        <v>6</v>
      </c>
      <c r="B13" s="63" t="s">
        <v>75</v>
      </c>
      <c r="C13" s="63" t="s">
        <v>18</v>
      </c>
      <c r="D13" s="64" t="s">
        <v>76</v>
      </c>
      <c r="E13" s="64" t="s">
        <v>20</v>
      </c>
      <c r="F13" s="63" t="s">
        <v>21</v>
      </c>
      <c r="G13" s="63" t="s">
        <v>22</v>
      </c>
      <c r="H13" s="64" t="s">
        <v>77</v>
      </c>
      <c r="I13" s="65" t="s">
        <v>24</v>
      </c>
      <c r="J13" s="66" t="s">
        <v>24</v>
      </c>
      <c r="K13" s="66" t="s">
        <v>24</v>
      </c>
      <c r="L13" s="66" t="s">
        <v>24</v>
      </c>
      <c r="M13" s="67" t="s">
        <v>25</v>
      </c>
      <c r="N13" s="68" t="s">
        <v>18</v>
      </c>
      <c r="O13" s="69" t="s">
        <v>18</v>
      </c>
    </row>
    <row r="14" spans="1:15" ht="292.5" customHeight="1">
      <c r="A14" s="6">
        <v>6</v>
      </c>
      <c r="B14" s="6" t="s">
        <v>78</v>
      </c>
      <c r="C14" s="6" t="s">
        <v>79</v>
      </c>
      <c r="D14" s="5" t="s">
        <v>80</v>
      </c>
      <c r="E14" s="5" t="s">
        <v>39</v>
      </c>
      <c r="F14" s="6" t="s">
        <v>21</v>
      </c>
      <c r="G14" s="6" t="s">
        <v>30</v>
      </c>
      <c r="H14" s="5" t="s">
        <v>71</v>
      </c>
      <c r="I14" s="12" t="s">
        <v>72</v>
      </c>
      <c r="J14" s="29" t="s">
        <v>33</v>
      </c>
      <c r="K14" s="29">
        <v>2</v>
      </c>
      <c r="L14" s="29"/>
      <c r="M14" s="25" t="s">
        <v>81</v>
      </c>
      <c r="N14" s="15" t="s">
        <v>29</v>
      </c>
      <c r="O14" s="30" t="s">
        <v>36</v>
      </c>
    </row>
    <row r="15" spans="1:15" ht="46.5">
      <c r="A15" s="6">
        <v>6</v>
      </c>
      <c r="B15" s="6" t="s">
        <v>78</v>
      </c>
      <c r="C15" s="6" t="s">
        <v>82</v>
      </c>
      <c r="D15" s="5" t="s">
        <v>83</v>
      </c>
      <c r="E15" s="5" t="s">
        <v>39</v>
      </c>
      <c r="F15" s="34" t="s">
        <v>29</v>
      </c>
      <c r="G15" s="6" t="s">
        <v>30</v>
      </c>
      <c r="H15" s="5" t="s">
        <v>84</v>
      </c>
      <c r="I15" s="12"/>
      <c r="J15" s="29" t="s">
        <v>33</v>
      </c>
      <c r="K15" s="29">
        <v>1</v>
      </c>
      <c r="L15" s="29" t="s">
        <v>85</v>
      </c>
      <c r="M15" s="25" t="s">
        <v>81</v>
      </c>
      <c r="N15" s="15" t="s">
        <v>86</v>
      </c>
      <c r="O15" s="30" t="s">
        <v>36</v>
      </c>
    </row>
    <row r="16" spans="1:15" ht="62.1">
      <c r="A16" s="6">
        <v>6</v>
      </c>
      <c r="B16" s="6" t="s">
        <v>78</v>
      </c>
      <c r="C16" s="6" t="s">
        <v>87</v>
      </c>
      <c r="D16" s="5" t="s">
        <v>88</v>
      </c>
      <c r="E16" s="5" t="s">
        <v>39</v>
      </c>
      <c r="F16" s="6" t="s">
        <v>29</v>
      </c>
      <c r="G16" s="6" t="s">
        <v>22</v>
      </c>
      <c r="H16" s="5" t="s">
        <v>89</v>
      </c>
      <c r="I16" s="12" t="s">
        <v>90</v>
      </c>
      <c r="J16" s="29" t="s">
        <v>33</v>
      </c>
      <c r="K16" s="29">
        <v>1</v>
      </c>
      <c r="L16" s="29" t="s">
        <v>91</v>
      </c>
      <c r="M16" s="25" t="s">
        <v>92</v>
      </c>
      <c r="N16" s="15" t="s">
        <v>29</v>
      </c>
      <c r="O16" s="30" t="s">
        <v>36</v>
      </c>
    </row>
    <row r="17" spans="1:15" ht="77.45">
      <c r="A17" s="6">
        <v>7</v>
      </c>
      <c r="B17" s="6" t="s">
        <v>78</v>
      </c>
      <c r="C17" s="6" t="s">
        <v>87</v>
      </c>
      <c r="D17" s="5" t="s">
        <v>93</v>
      </c>
      <c r="E17" s="5" t="s">
        <v>61</v>
      </c>
      <c r="F17" s="6" t="s">
        <v>29</v>
      </c>
      <c r="G17" s="6" t="s">
        <v>30</v>
      </c>
      <c r="H17" s="5" t="s">
        <v>94</v>
      </c>
      <c r="I17" s="12"/>
      <c r="J17" s="29" t="s">
        <v>46</v>
      </c>
      <c r="K17" s="29">
        <v>1</v>
      </c>
      <c r="L17" s="41" t="s">
        <v>95</v>
      </c>
      <c r="M17" s="25" t="s">
        <v>96</v>
      </c>
      <c r="N17" s="15" t="s">
        <v>97</v>
      </c>
      <c r="O17" s="30" t="s">
        <v>36</v>
      </c>
    </row>
    <row r="18" spans="1:15" ht="62.1">
      <c r="A18" s="6">
        <v>7</v>
      </c>
      <c r="B18" s="6" t="s">
        <v>78</v>
      </c>
      <c r="C18" s="6" t="s">
        <v>98</v>
      </c>
      <c r="D18" s="5" t="s">
        <v>99</v>
      </c>
      <c r="E18" s="5" t="s">
        <v>39</v>
      </c>
      <c r="F18" s="6" t="s">
        <v>29</v>
      </c>
      <c r="G18" s="6" t="s">
        <v>22</v>
      </c>
      <c r="H18" s="5" t="s">
        <v>100</v>
      </c>
      <c r="I18" s="12" t="s">
        <v>90</v>
      </c>
      <c r="J18" s="29" t="s">
        <v>33</v>
      </c>
      <c r="K18" s="29">
        <v>1</v>
      </c>
      <c r="L18" s="29" t="s">
        <v>91</v>
      </c>
      <c r="M18" s="25" t="s">
        <v>101</v>
      </c>
      <c r="N18" s="15" t="s">
        <v>29</v>
      </c>
      <c r="O18" s="30" t="s">
        <v>36</v>
      </c>
    </row>
    <row r="19" spans="1:15" ht="62.1">
      <c r="A19" s="6">
        <v>7</v>
      </c>
      <c r="B19" s="6" t="s">
        <v>78</v>
      </c>
      <c r="C19" s="6" t="s">
        <v>102</v>
      </c>
      <c r="D19" s="5" t="s">
        <v>103</v>
      </c>
      <c r="E19" s="5" t="s">
        <v>39</v>
      </c>
      <c r="F19" s="6" t="s">
        <v>29</v>
      </c>
      <c r="G19" s="6" t="s">
        <v>30</v>
      </c>
      <c r="H19" s="5" t="s">
        <v>104</v>
      </c>
      <c r="I19" s="12"/>
      <c r="J19" s="29" t="s">
        <v>33</v>
      </c>
      <c r="K19" s="29">
        <v>1</v>
      </c>
      <c r="L19" s="29" t="s">
        <v>105</v>
      </c>
      <c r="M19" s="25" t="s">
        <v>101</v>
      </c>
      <c r="N19" s="15" t="s">
        <v>29</v>
      </c>
      <c r="O19" s="30" t="s">
        <v>36</v>
      </c>
    </row>
    <row r="20" spans="1:15" ht="46.5">
      <c r="A20" s="6">
        <v>7</v>
      </c>
      <c r="B20" s="6" t="s">
        <v>78</v>
      </c>
      <c r="C20" s="6" t="s">
        <v>106</v>
      </c>
      <c r="D20" s="5" t="s">
        <v>107</v>
      </c>
      <c r="E20" s="5" t="s">
        <v>39</v>
      </c>
      <c r="F20" s="6" t="s">
        <v>29</v>
      </c>
      <c r="G20" s="6" t="s">
        <v>30</v>
      </c>
      <c r="H20" s="5" t="s">
        <v>108</v>
      </c>
      <c r="I20" s="12"/>
      <c r="J20" s="29" t="s">
        <v>33</v>
      </c>
      <c r="K20" s="29">
        <v>1</v>
      </c>
      <c r="L20" s="29" t="s">
        <v>109</v>
      </c>
      <c r="M20" s="25" t="s">
        <v>101</v>
      </c>
      <c r="N20" s="15" t="s">
        <v>29</v>
      </c>
      <c r="O20" s="30" t="s">
        <v>36</v>
      </c>
    </row>
    <row r="21" spans="1:15" ht="30.95">
      <c r="A21" s="6">
        <v>7</v>
      </c>
      <c r="B21" s="6" t="s">
        <v>78</v>
      </c>
      <c r="C21" s="6" t="s">
        <v>110</v>
      </c>
      <c r="D21" s="5" t="s">
        <v>111</v>
      </c>
      <c r="E21" s="5" t="s">
        <v>61</v>
      </c>
      <c r="F21" s="6" t="s">
        <v>29</v>
      </c>
      <c r="G21" s="6" t="s">
        <v>112</v>
      </c>
      <c r="H21" s="5" t="s">
        <v>56</v>
      </c>
      <c r="I21" s="12"/>
      <c r="J21" s="29" t="s">
        <v>46</v>
      </c>
      <c r="K21" s="29">
        <v>1</v>
      </c>
      <c r="L21" s="29" t="s">
        <v>113</v>
      </c>
      <c r="M21" s="25" t="s">
        <v>48</v>
      </c>
      <c r="N21" s="15" t="s">
        <v>29</v>
      </c>
      <c r="O21" s="30" t="s">
        <v>18</v>
      </c>
    </row>
    <row r="22" spans="1:15" ht="139.5">
      <c r="A22" s="6">
        <v>7</v>
      </c>
      <c r="B22" s="6" t="s">
        <v>78</v>
      </c>
      <c r="C22" s="6" t="s">
        <v>114</v>
      </c>
      <c r="D22" s="5" t="s">
        <v>115</v>
      </c>
      <c r="E22" s="5" t="s">
        <v>20</v>
      </c>
      <c r="F22" s="6" t="s">
        <v>116</v>
      </c>
      <c r="G22" s="6" t="s">
        <v>30</v>
      </c>
      <c r="H22" s="5" t="s">
        <v>117</v>
      </c>
      <c r="I22" s="12"/>
      <c r="J22" s="29" t="s">
        <v>33</v>
      </c>
      <c r="K22" s="29">
        <v>1</v>
      </c>
      <c r="L22" s="29" t="s">
        <v>118</v>
      </c>
      <c r="M22" s="25" t="s">
        <v>119</v>
      </c>
      <c r="N22" s="15" t="s">
        <v>29</v>
      </c>
      <c r="O22" s="30" t="s">
        <v>36</v>
      </c>
    </row>
    <row r="23" spans="1:15" ht="108.6">
      <c r="A23" s="6">
        <v>7</v>
      </c>
      <c r="B23" s="6" t="s">
        <v>78</v>
      </c>
      <c r="C23" s="6" t="s">
        <v>120</v>
      </c>
      <c r="D23" s="5" t="s">
        <v>121</v>
      </c>
      <c r="E23" s="5" t="s">
        <v>39</v>
      </c>
      <c r="F23" s="6" t="s">
        <v>29</v>
      </c>
      <c r="G23" s="6" t="s">
        <v>30</v>
      </c>
      <c r="H23" s="5" t="s">
        <v>122</v>
      </c>
      <c r="I23" s="12"/>
      <c r="J23" s="29" t="s">
        <v>33</v>
      </c>
      <c r="K23" s="29">
        <v>1</v>
      </c>
      <c r="L23" s="29" t="s">
        <v>123</v>
      </c>
      <c r="M23" s="25" t="s">
        <v>101</v>
      </c>
      <c r="N23" s="15" t="s">
        <v>29</v>
      </c>
      <c r="O23" s="30" t="s">
        <v>36</v>
      </c>
    </row>
    <row r="24" spans="1:15" ht="62.1">
      <c r="A24" s="6">
        <v>7</v>
      </c>
      <c r="B24" s="6" t="s">
        <v>78</v>
      </c>
      <c r="C24" s="6" t="s">
        <v>124</v>
      </c>
      <c r="D24" s="5" t="s">
        <v>125</v>
      </c>
      <c r="E24" s="5" t="s">
        <v>39</v>
      </c>
      <c r="F24" s="34" t="s">
        <v>29</v>
      </c>
      <c r="G24" s="34"/>
      <c r="H24" s="5" t="s">
        <v>126</v>
      </c>
      <c r="I24" s="12" t="s">
        <v>127</v>
      </c>
      <c r="J24" s="29" t="s">
        <v>33</v>
      </c>
      <c r="K24" s="29">
        <v>1</v>
      </c>
      <c r="L24" s="29"/>
      <c r="M24" s="25" t="s">
        <v>35</v>
      </c>
      <c r="N24" s="15" t="s">
        <v>29</v>
      </c>
      <c r="O24" s="30" t="s">
        <v>36</v>
      </c>
    </row>
    <row r="25" spans="1:15" ht="30.95">
      <c r="A25" s="6">
        <v>7</v>
      </c>
      <c r="B25" s="6" t="s">
        <v>78</v>
      </c>
      <c r="C25" s="6" t="s">
        <v>128</v>
      </c>
      <c r="D25" s="5" t="s">
        <v>129</v>
      </c>
      <c r="E25" s="5" t="s">
        <v>61</v>
      </c>
      <c r="F25" s="6" t="s">
        <v>29</v>
      </c>
      <c r="G25" s="6"/>
      <c r="H25" s="5" t="s">
        <v>56</v>
      </c>
      <c r="I25" s="12"/>
      <c r="J25" s="29" t="s">
        <v>46</v>
      </c>
      <c r="K25" s="29">
        <v>1</v>
      </c>
      <c r="L25" s="29"/>
      <c r="M25" s="25" t="s">
        <v>48</v>
      </c>
      <c r="N25" s="15" t="s">
        <v>29</v>
      </c>
      <c r="O25" s="30" t="s">
        <v>18</v>
      </c>
    </row>
    <row r="26" spans="1:15" ht="46.5">
      <c r="A26" s="6">
        <v>7</v>
      </c>
      <c r="B26" s="6" t="s">
        <v>78</v>
      </c>
      <c r="C26" s="6" t="s">
        <v>130</v>
      </c>
      <c r="D26" s="5" t="s">
        <v>131</v>
      </c>
      <c r="E26" s="5" t="s">
        <v>39</v>
      </c>
      <c r="F26" s="6" t="s">
        <v>29</v>
      </c>
      <c r="G26" s="6"/>
      <c r="H26" s="5" t="s">
        <v>132</v>
      </c>
      <c r="I26" s="12"/>
      <c r="J26" s="29" t="s">
        <v>46</v>
      </c>
      <c r="K26" s="29">
        <v>1</v>
      </c>
      <c r="L26" s="29"/>
      <c r="M26" s="25" t="s">
        <v>48</v>
      </c>
      <c r="N26" s="15" t="s">
        <v>29</v>
      </c>
      <c r="O26" s="30" t="s">
        <v>36</v>
      </c>
    </row>
    <row r="27" spans="1:15" ht="46.5">
      <c r="A27" s="6">
        <v>7</v>
      </c>
      <c r="B27" s="6" t="s">
        <v>78</v>
      </c>
      <c r="C27" s="6" t="s">
        <v>133</v>
      </c>
      <c r="D27" s="5" t="s">
        <v>134</v>
      </c>
      <c r="E27" s="5" t="s">
        <v>61</v>
      </c>
      <c r="F27" s="34" t="s">
        <v>29</v>
      </c>
      <c r="G27" s="34"/>
      <c r="H27" s="5" t="s">
        <v>135</v>
      </c>
      <c r="I27" s="12" t="s">
        <v>136</v>
      </c>
      <c r="J27" s="29" t="s">
        <v>46</v>
      </c>
      <c r="K27" s="29">
        <v>1</v>
      </c>
      <c r="L27" s="29"/>
      <c r="M27" s="25" t="s">
        <v>96</v>
      </c>
      <c r="N27" s="15" t="s">
        <v>29</v>
      </c>
      <c r="O27" s="30" t="s">
        <v>36</v>
      </c>
    </row>
    <row r="28" spans="1:15" ht="77.45">
      <c r="A28" s="6">
        <v>7</v>
      </c>
      <c r="B28" s="6" t="s">
        <v>78</v>
      </c>
      <c r="C28" s="6" t="s">
        <v>137</v>
      </c>
      <c r="D28" s="5" t="s">
        <v>138</v>
      </c>
      <c r="E28" s="5" t="s">
        <v>61</v>
      </c>
      <c r="F28" s="6" t="s">
        <v>29</v>
      </c>
      <c r="G28" s="6"/>
      <c r="H28" s="5" t="s">
        <v>56</v>
      </c>
      <c r="I28" s="12"/>
      <c r="J28" s="29" t="s">
        <v>46</v>
      </c>
      <c r="K28" s="29">
        <v>1</v>
      </c>
      <c r="L28" s="29"/>
      <c r="M28" s="25" t="s">
        <v>48</v>
      </c>
      <c r="N28" s="15" t="s">
        <v>29</v>
      </c>
      <c r="O28" s="30" t="s">
        <v>18</v>
      </c>
    </row>
    <row r="29" spans="1:15" ht="123.95">
      <c r="A29" s="6">
        <v>7</v>
      </c>
      <c r="B29" s="6" t="s">
        <v>78</v>
      </c>
      <c r="C29" s="6" t="s">
        <v>139</v>
      </c>
      <c r="D29" s="5" t="s">
        <v>140</v>
      </c>
      <c r="E29" s="5" t="s">
        <v>39</v>
      </c>
      <c r="F29" s="6" t="s">
        <v>29</v>
      </c>
      <c r="G29" s="6"/>
      <c r="H29" s="5" t="s">
        <v>141</v>
      </c>
      <c r="I29" s="12"/>
      <c r="J29" s="29" t="s">
        <v>33</v>
      </c>
      <c r="K29" s="29">
        <v>1</v>
      </c>
      <c r="L29" s="29"/>
      <c r="M29" s="25" t="s">
        <v>101</v>
      </c>
      <c r="N29" s="15" t="s">
        <v>142</v>
      </c>
      <c r="O29" s="30" t="s">
        <v>36</v>
      </c>
    </row>
    <row r="30" spans="1:15" ht="46.5">
      <c r="A30" s="6">
        <v>8</v>
      </c>
      <c r="B30" s="6" t="s">
        <v>78</v>
      </c>
      <c r="C30" s="6" t="s">
        <v>143</v>
      </c>
      <c r="D30" s="5" t="s">
        <v>144</v>
      </c>
      <c r="E30" s="5" t="s">
        <v>39</v>
      </c>
      <c r="F30" s="6" t="s">
        <v>29</v>
      </c>
      <c r="G30" s="6"/>
      <c r="H30" s="5" t="s">
        <v>145</v>
      </c>
      <c r="I30" s="12"/>
      <c r="J30" s="29" t="s">
        <v>33</v>
      </c>
      <c r="K30" s="29">
        <v>1</v>
      </c>
      <c r="L30" s="29"/>
      <c r="M30" s="25" t="s">
        <v>101</v>
      </c>
      <c r="N30" s="15" t="s">
        <v>142</v>
      </c>
      <c r="O30" s="30" t="s">
        <v>18</v>
      </c>
    </row>
    <row r="31" spans="1:15" ht="93">
      <c r="A31" s="6">
        <v>8</v>
      </c>
      <c r="B31" s="6" t="s">
        <v>78</v>
      </c>
      <c r="C31" s="6" t="s">
        <v>146</v>
      </c>
      <c r="D31" s="5" t="s">
        <v>147</v>
      </c>
      <c r="E31" s="5" t="s">
        <v>39</v>
      </c>
      <c r="F31" s="34" t="s">
        <v>29</v>
      </c>
      <c r="G31" s="34"/>
      <c r="H31" s="5" t="s">
        <v>148</v>
      </c>
      <c r="I31" s="12"/>
      <c r="J31" s="29" t="s">
        <v>33</v>
      </c>
      <c r="K31" s="29">
        <v>1</v>
      </c>
      <c r="L31" s="29"/>
      <c r="M31" s="25" t="s">
        <v>81</v>
      </c>
      <c r="N31" s="15" t="s">
        <v>29</v>
      </c>
      <c r="O31" s="30" t="s">
        <v>36</v>
      </c>
    </row>
    <row r="32" spans="1:15" ht="30.95">
      <c r="A32" s="6">
        <v>8</v>
      </c>
      <c r="B32" s="6" t="s">
        <v>78</v>
      </c>
      <c r="C32" s="6" t="s">
        <v>149</v>
      </c>
      <c r="D32" s="5" t="s">
        <v>150</v>
      </c>
      <c r="E32" s="5" t="s">
        <v>39</v>
      </c>
      <c r="F32" s="6" t="s">
        <v>29</v>
      </c>
      <c r="G32" s="6"/>
      <c r="H32" s="5" t="s">
        <v>151</v>
      </c>
      <c r="I32" s="12"/>
      <c r="J32" s="29" t="s">
        <v>33</v>
      </c>
      <c r="K32" s="29">
        <v>1</v>
      </c>
      <c r="L32" s="29"/>
      <c r="M32" s="25" t="s">
        <v>92</v>
      </c>
      <c r="N32" s="15" t="s">
        <v>29</v>
      </c>
      <c r="O32" s="30" t="s">
        <v>36</v>
      </c>
    </row>
    <row r="33" spans="1:15" ht="77.45">
      <c r="A33" s="6">
        <v>8</v>
      </c>
      <c r="B33" s="6" t="s">
        <v>78</v>
      </c>
      <c r="C33" s="6" t="s">
        <v>152</v>
      </c>
      <c r="D33" s="5" t="s">
        <v>153</v>
      </c>
      <c r="E33" s="5" t="s">
        <v>61</v>
      </c>
      <c r="F33" s="6" t="s">
        <v>29</v>
      </c>
      <c r="G33" s="6"/>
      <c r="H33" s="5" t="s">
        <v>94</v>
      </c>
      <c r="I33" s="12"/>
      <c r="J33" s="29" t="s">
        <v>46</v>
      </c>
      <c r="K33" s="29">
        <v>1</v>
      </c>
      <c r="L33" s="29"/>
      <c r="M33" s="25" t="s">
        <v>96</v>
      </c>
      <c r="N33" s="15" t="s">
        <v>29</v>
      </c>
      <c r="O33" s="30" t="s">
        <v>36</v>
      </c>
    </row>
    <row r="34" spans="1:15" ht="46.5">
      <c r="A34" s="6">
        <v>8</v>
      </c>
      <c r="B34" s="6" t="s">
        <v>78</v>
      </c>
      <c r="C34" s="6" t="s">
        <v>154</v>
      </c>
      <c r="D34" s="5" t="s">
        <v>155</v>
      </c>
      <c r="E34" s="5" t="s">
        <v>39</v>
      </c>
      <c r="F34" s="6" t="s">
        <v>29</v>
      </c>
      <c r="G34" s="6"/>
      <c r="H34" s="5" t="s">
        <v>89</v>
      </c>
      <c r="I34" s="12" t="s">
        <v>90</v>
      </c>
      <c r="J34" s="29" t="s">
        <v>33</v>
      </c>
      <c r="K34" s="29">
        <v>1</v>
      </c>
      <c r="L34" s="29"/>
      <c r="M34" s="25" t="s">
        <v>92</v>
      </c>
      <c r="N34" s="15" t="s">
        <v>29</v>
      </c>
      <c r="O34" s="30" t="s">
        <v>36</v>
      </c>
    </row>
    <row r="35" spans="1:15" ht="77.45">
      <c r="A35" s="6">
        <v>8</v>
      </c>
      <c r="B35" s="6" t="s">
        <v>78</v>
      </c>
      <c r="C35" s="6" t="s">
        <v>156</v>
      </c>
      <c r="D35" s="5" t="s">
        <v>157</v>
      </c>
      <c r="E35" s="5" t="s">
        <v>39</v>
      </c>
      <c r="F35" s="6" t="s">
        <v>29</v>
      </c>
      <c r="G35" s="6"/>
      <c r="H35" s="5" t="s">
        <v>108</v>
      </c>
      <c r="I35" s="12"/>
      <c r="J35" s="29" t="s">
        <v>33</v>
      </c>
      <c r="K35" s="29">
        <v>1</v>
      </c>
      <c r="L35" s="29"/>
      <c r="M35" s="25" t="s">
        <v>101</v>
      </c>
      <c r="N35" s="15" t="s">
        <v>29</v>
      </c>
      <c r="O35" s="30" t="s">
        <v>36</v>
      </c>
    </row>
    <row r="36" spans="1:15" ht="46.5">
      <c r="A36" s="6">
        <v>8</v>
      </c>
      <c r="B36" s="6" t="s">
        <v>78</v>
      </c>
      <c r="C36" s="6" t="s">
        <v>158</v>
      </c>
      <c r="D36" s="5" t="s">
        <v>159</v>
      </c>
      <c r="E36" s="5" t="s">
        <v>61</v>
      </c>
      <c r="F36" s="34" t="s">
        <v>29</v>
      </c>
      <c r="G36" s="34"/>
      <c r="H36" s="5" t="s">
        <v>135</v>
      </c>
      <c r="I36" s="12" t="s">
        <v>136</v>
      </c>
      <c r="J36" s="29" t="s">
        <v>46</v>
      </c>
      <c r="K36" s="29">
        <v>1</v>
      </c>
      <c r="L36" s="29"/>
      <c r="M36" s="25" t="s">
        <v>96</v>
      </c>
      <c r="N36" s="15" t="s">
        <v>29</v>
      </c>
      <c r="O36" s="30" t="s">
        <v>36</v>
      </c>
    </row>
    <row r="37" spans="1:15" ht="46.5">
      <c r="A37" s="6">
        <v>8</v>
      </c>
      <c r="B37" s="6" t="s">
        <v>78</v>
      </c>
      <c r="C37" s="6" t="s">
        <v>160</v>
      </c>
      <c r="D37" s="5" t="s">
        <v>161</v>
      </c>
      <c r="E37" s="5" t="s">
        <v>39</v>
      </c>
      <c r="F37" s="6" t="s">
        <v>29</v>
      </c>
      <c r="G37" s="6"/>
      <c r="H37" s="5" t="s">
        <v>162</v>
      </c>
      <c r="I37" s="12"/>
      <c r="J37" s="29" t="s">
        <v>33</v>
      </c>
      <c r="K37" s="29">
        <v>1</v>
      </c>
      <c r="L37" s="29"/>
      <c r="M37" s="25" t="s">
        <v>101</v>
      </c>
      <c r="N37" s="15" t="s">
        <v>29</v>
      </c>
      <c r="O37" s="30" t="s">
        <v>36</v>
      </c>
    </row>
    <row r="38" spans="1:15" ht="123.95">
      <c r="A38" s="6">
        <v>8</v>
      </c>
      <c r="B38" s="6" t="s">
        <v>78</v>
      </c>
      <c r="C38" s="6" t="s">
        <v>163</v>
      </c>
      <c r="D38" s="6" t="s">
        <v>163</v>
      </c>
      <c r="E38" s="5" t="s">
        <v>20</v>
      </c>
      <c r="F38" s="6" t="s">
        <v>29</v>
      </c>
      <c r="G38" s="6"/>
      <c r="H38" s="5" t="s">
        <v>164</v>
      </c>
      <c r="I38" s="12"/>
      <c r="J38" s="29" t="s">
        <v>33</v>
      </c>
      <c r="K38" s="29">
        <v>1</v>
      </c>
      <c r="L38" s="29"/>
      <c r="M38" s="25" t="s">
        <v>165</v>
      </c>
      <c r="N38" s="15" t="s">
        <v>29</v>
      </c>
      <c r="O38" s="30" t="s">
        <v>18</v>
      </c>
    </row>
    <row r="39" spans="1:15" ht="139.5">
      <c r="A39" s="6">
        <v>8</v>
      </c>
      <c r="B39" s="6" t="s">
        <v>78</v>
      </c>
      <c r="C39" s="6" t="s">
        <v>166</v>
      </c>
      <c r="D39" s="5" t="s">
        <v>167</v>
      </c>
      <c r="E39" s="5" t="s">
        <v>20</v>
      </c>
      <c r="F39" s="6" t="s">
        <v>29</v>
      </c>
      <c r="G39" s="6"/>
      <c r="H39" s="5" t="s">
        <v>168</v>
      </c>
      <c r="I39" s="12"/>
      <c r="J39" s="29" t="s">
        <v>33</v>
      </c>
      <c r="K39" s="29">
        <v>1</v>
      </c>
      <c r="L39" s="29"/>
      <c r="M39" s="25" t="s">
        <v>165</v>
      </c>
      <c r="N39" s="15" t="s">
        <v>29</v>
      </c>
      <c r="O39" s="30" t="s">
        <v>18</v>
      </c>
    </row>
    <row r="40" spans="1:15" ht="46.5">
      <c r="A40" s="6">
        <v>8</v>
      </c>
      <c r="B40" s="6" t="s">
        <v>78</v>
      </c>
      <c r="C40" s="6" t="s">
        <v>169</v>
      </c>
      <c r="D40" s="5" t="s">
        <v>170</v>
      </c>
      <c r="E40" s="5" t="s">
        <v>39</v>
      </c>
      <c r="F40" s="6" t="s">
        <v>29</v>
      </c>
      <c r="G40" s="6"/>
      <c r="H40" s="5" t="s">
        <v>171</v>
      </c>
      <c r="I40" s="12"/>
      <c r="J40" s="29" t="s">
        <v>33</v>
      </c>
      <c r="K40" s="29">
        <v>1</v>
      </c>
      <c r="L40" s="29"/>
      <c r="M40" s="25" t="s">
        <v>101</v>
      </c>
      <c r="N40" s="15" t="s">
        <v>29</v>
      </c>
      <c r="O40" s="30" t="s">
        <v>36</v>
      </c>
    </row>
    <row r="41" spans="1:15" ht="77.45">
      <c r="A41" s="6">
        <v>8</v>
      </c>
      <c r="B41" s="6" t="s">
        <v>78</v>
      </c>
      <c r="C41" s="6" t="s">
        <v>172</v>
      </c>
      <c r="D41" s="5" t="s">
        <v>173</v>
      </c>
      <c r="E41" s="5" t="s">
        <v>39</v>
      </c>
      <c r="F41" s="6" t="s">
        <v>29</v>
      </c>
      <c r="G41" s="6"/>
      <c r="H41" s="5" t="s">
        <v>171</v>
      </c>
      <c r="I41" s="12"/>
      <c r="J41" s="29" t="s">
        <v>33</v>
      </c>
      <c r="K41" s="29">
        <v>1</v>
      </c>
      <c r="L41" s="29" t="s">
        <v>174</v>
      </c>
      <c r="M41" s="25" t="s">
        <v>101</v>
      </c>
      <c r="N41" s="15" t="s">
        <v>29</v>
      </c>
      <c r="O41" s="30" t="s">
        <v>36</v>
      </c>
    </row>
    <row r="42" spans="1:15" ht="46.5">
      <c r="A42" s="6">
        <v>8</v>
      </c>
      <c r="B42" s="6" t="s">
        <v>78</v>
      </c>
      <c r="C42" s="6" t="s">
        <v>175</v>
      </c>
      <c r="D42" s="5" t="s">
        <v>176</v>
      </c>
      <c r="E42" s="5" t="s">
        <v>39</v>
      </c>
      <c r="F42" s="6" t="s">
        <v>29</v>
      </c>
      <c r="G42" s="6"/>
      <c r="H42" s="5" t="s">
        <v>171</v>
      </c>
      <c r="I42" s="12"/>
      <c r="J42" s="29" t="s">
        <v>33</v>
      </c>
      <c r="K42" s="29">
        <v>1</v>
      </c>
      <c r="L42" s="29" t="s">
        <v>174</v>
      </c>
      <c r="M42" s="25" t="s">
        <v>101</v>
      </c>
      <c r="N42" s="15" t="s">
        <v>29</v>
      </c>
      <c r="O42" s="30" t="s">
        <v>36</v>
      </c>
    </row>
    <row r="43" spans="1:15" ht="93">
      <c r="A43" s="6">
        <v>9</v>
      </c>
      <c r="B43" s="6" t="s">
        <v>177</v>
      </c>
      <c r="C43" s="6" t="s">
        <v>178</v>
      </c>
      <c r="D43" s="5" t="s">
        <v>179</v>
      </c>
      <c r="E43" s="5" t="s">
        <v>39</v>
      </c>
      <c r="F43" s="34" t="s">
        <v>29</v>
      </c>
      <c r="G43" s="34"/>
      <c r="H43" s="5" t="s">
        <v>180</v>
      </c>
      <c r="I43" s="12"/>
      <c r="J43" s="29" t="s">
        <v>33</v>
      </c>
      <c r="K43" s="29">
        <v>1</v>
      </c>
      <c r="L43" s="29" t="s">
        <v>181</v>
      </c>
      <c r="M43" s="25" t="s">
        <v>81</v>
      </c>
      <c r="N43" s="15" t="s">
        <v>29</v>
      </c>
      <c r="O43" s="30" t="s">
        <v>36</v>
      </c>
    </row>
    <row r="44" spans="1:15" ht="77.45">
      <c r="A44" s="6">
        <v>9</v>
      </c>
      <c r="B44" s="6" t="s">
        <v>177</v>
      </c>
      <c r="C44" s="6" t="s">
        <v>182</v>
      </c>
      <c r="D44" s="5" t="s">
        <v>183</v>
      </c>
      <c r="E44" s="5" t="s">
        <v>39</v>
      </c>
      <c r="F44" s="6" t="s">
        <v>29</v>
      </c>
      <c r="G44" s="6"/>
      <c r="H44" s="5" t="s">
        <v>184</v>
      </c>
      <c r="I44" s="12"/>
      <c r="J44" s="29" t="s">
        <v>33</v>
      </c>
      <c r="K44" s="29">
        <v>1</v>
      </c>
      <c r="L44" s="29" t="s">
        <v>181</v>
      </c>
      <c r="M44" s="25" t="s">
        <v>101</v>
      </c>
      <c r="N44" s="15" t="s">
        <v>29</v>
      </c>
      <c r="O44" s="30" t="s">
        <v>36</v>
      </c>
    </row>
    <row r="45" spans="1:15" ht="77.45">
      <c r="A45" s="6">
        <v>9</v>
      </c>
      <c r="B45" s="6" t="s">
        <v>177</v>
      </c>
      <c r="C45" s="6" t="s">
        <v>185</v>
      </c>
      <c r="D45" s="5" t="s">
        <v>186</v>
      </c>
      <c r="E45" s="5" t="s">
        <v>39</v>
      </c>
      <c r="F45" s="6" t="s">
        <v>29</v>
      </c>
      <c r="G45" s="6"/>
      <c r="H45" s="5" t="s">
        <v>184</v>
      </c>
      <c r="I45" s="12"/>
      <c r="J45" s="29" t="s">
        <v>33</v>
      </c>
      <c r="K45" s="29">
        <v>1</v>
      </c>
      <c r="L45" s="29" t="s">
        <v>181</v>
      </c>
      <c r="M45" s="25" t="s">
        <v>101</v>
      </c>
      <c r="N45" s="15" t="s">
        <v>29</v>
      </c>
      <c r="O45" s="30" t="s">
        <v>36</v>
      </c>
    </row>
    <row r="46" spans="1:15" ht="77.45">
      <c r="A46" s="6">
        <v>9</v>
      </c>
      <c r="B46" s="6" t="s">
        <v>177</v>
      </c>
      <c r="C46" s="6" t="s">
        <v>187</v>
      </c>
      <c r="D46" s="5" t="s">
        <v>188</v>
      </c>
      <c r="E46" s="5" t="s">
        <v>39</v>
      </c>
      <c r="F46" s="6" t="s">
        <v>29</v>
      </c>
      <c r="G46" s="6"/>
      <c r="H46" s="5" t="s">
        <v>184</v>
      </c>
      <c r="I46" s="12"/>
      <c r="J46" s="29" t="s">
        <v>33</v>
      </c>
      <c r="K46" s="29">
        <v>1</v>
      </c>
      <c r="L46" s="29" t="s">
        <v>181</v>
      </c>
      <c r="M46" s="25" t="s">
        <v>101</v>
      </c>
      <c r="N46" s="15" t="s">
        <v>29</v>
      </c>
      <c r="O46" s="30" t="s">
        <v>36</v>
      </c>
    </row>
    <row r="47" spans="1:15" ht="77.45">
      <c r="A47" s="6">
        <v>9</v>
      </c>
      <c r="B47" s="6" t="s">
        <v>177</v>
      </c>
      <c r="C47" s="6" t="s">
        <v>189</v>
      </c>
      <c r="D47" s="5" t="s">
        <v>190</v>
      </c>
      <c r="E47" s="5" t="s">
        <v>39</v>
      </c>
      <c r="F47" s="6" t="s">
        <v>29</v>
      </c>
      <c r="G47" s="6"/>
      <c r="H47" s="5" t="s">
        <v>191</v>
      </c>
      <c r="I47" s="12"/>
      <c r="J47" s="29" t="s">
        <v>33</v>
      </c>
      <c r="K47" s="29">
        <v>1</v>
      </c>
      <c r="L47" s="25" t="s">
        <v>101</v>
      </c>
      <c r="M47" s="25" t="s">
        <v>101</v>
      </c>
      <c r="N47" s="15" t="s">
        <v>29</v>
      </c>
      <c r="O47" s="30" t="s">
        <v>36</v>
      </c>
    </row>
    <row r="48" spans="1:15" ht="93">
      <c r="A48" s="6">
        <v>9</v>
      </c>
      <c r="B48" s="6" t="s">
        <v>177</v>
      </c>
      <c r="C48" s="6" t="s">
        <v>192</v>
      </c>
      <c r="D48" s="5" t="s">
        <v>193</v>
      </c>
      <c r="E48" s="5" t="s">
        <v>20</v>
      </c>
      <c r="F48" s="34" t="s">
        <v>29</v>
      </c>
      <c r="G48" s="34"/>
      <c r="H48" s="5" t="s">
        <v>194</v>
      </c>
      <c r="I48" s="12" t="s">
        <v>195</v>
      </c>
      <c r="J48" s="29" t="s">
        <v>33</v>
      </c>
      <c r="K48" s="29">
        <v>1</v>
      </c>
      <c r="L48" s="29"/>
      <c r="M48" s="25" t="s">
        <v>196</v>
      </c>
      <c r="N48" s="15" t="s">
        <v>197</v>
      </c>
      <c r="O48" s="30" t="s">
        <v>36</v>
      </c>
    </row>
    <row r="49" spans="1:15" ht="93">
      <c r="A49" s="6">
        <v>10</v>
      </c>
      <c r="B49" s="6" t="s">
        <v>177</v>
      </c>
      <c r="C49" s="6" t="s">
        <v>198</v>
      </c>
      <c r="D49" s="5" t="s">
        <v>199</v>
      </c>
      <c r="E49" s="5" t="s">
        <v>20</v>
      </c>
      <c r="F49" s="6" t="s">
        <v>29</v>
      </c>
      <c r="G49" s="6"/>
      <c r="H49" s="5" t="s">
        <v>200</v>
      </c>
      <c r="I49" s="12" t="s">
        <v>201</v>
      </c>
      <c r="J49" s="29" t="s">
        <v>33</v>
      </c>
      <c r="K49" s="29">
        <v>1</v>
      </c>
      <c r="L49" s="29"/>
      <c r="M49" s="25" t="s">
        <v>196</v>
      </c>
      <c r="N49" s="15" t="s">
        <v>202</v>
      </c>
      <c r="O49" s="30" t="s">
        <v>36</v>
      </c>
    </row>
    <row r="50" spans="1:15" ht="93">
      <c r="A50" s="6">
        <v>10</v>
      </c>
      <c r="B50" s="6" t="s">
        <v>177</v>
      </c>
      <c r="C50" s="6" t="s">
        <v>203</v>
      </c>
      <c r="D50" s="5" t="s">
        <v>204</v>
      </c>
      <c r="E50" s="5" t="s">
        <v>20</v>
      </c>
      <c r="F50" s="34" t="s">
        <v>29</v>
      </c>
      <c r="G50" s="34"/>
      <c r="H50" s="5" t="s">
        <v>194</v>
      </c>
      <c r="I50" s="12" t="s">
        <v>205</v>
      </c>
      <c r="J50" s="29" t="s">
        <v>33</v>
      </c>
      <c r="K50" s="29">
        <v>1</v>
      </c>
      <c r="L50" s="29"/>
      <c r="M50" s="25" t="s">
        <v>196</v>
      </c>
      <c r="N50" s="15" t="s">
        <v>29</v>
      </c>
      <c r="O50" s="30" t="s">
        <v>36</v>
      </c>
    </row>
    <row r="51" spans="1:15" ht="93">
      <c r="A51" s="6">
        <v>10</v>
      </c>
      <c r="B51" s="6" t="s">
        <v>177</v>
      </c>
      <c r="C51" s="6" t="s">
        <v>206</v>
      </c>
      <c r="D51" s="5" t="s">
        <v>207</v>
      </c>
      <c r="E51" s="5" t="s">
        <v>20</v>
      </c>
      <c r="F51" s="34" t="s">
        <v>29</v>
      </c>
      <c r="G51" s="34"/>
      <c r="H51" s="5" t="s">
        <v>194</v>
      </c>
      <c r="I51" s="12" t="s">
        <v>208</v>
      </c>
      <c r="J51" s="29" t="s">
        <v>33</v>
      </c>
      <c r="K51" s="29">
        <v>1</v>
      </c>
      <c r="L51" s="29"/>
      <c r="M51" s="25" t="s">
        <v>196</v>
      </c>
      <c r="N51" s="15" t="s">
        <v>209</v>
      </c>
      <c r="O51" s="30" t="s">
        <v>36</v>
      </c>
    </row>
    <row r="52" spans="1:15" ht="46.5">
      <c r="A52" s="6">
        <v>10</v>
      </c>
      <c r="B52" s="6" t="s">
        <v>177</v>
      </c>
      <c r="C52" s="6" t="s">
        <v>210</v>
      </c>
      <c r="D52" s="5" t="s">
        <v>211</v>
      </c>
      <c r="E52" s="35" t="s">
        <v>39</v>
      </c>
      <c r="F52" s="6" t="s">
        <v>29</v>
      </c>
      <c r="G52" s="6"/>
      <c r="H52" s="5" t="s">
        <v>212</v>
      </c>
      <c r="I52" s="12"/>
      <c r="J52" s="29" t="s">
        <v>33</v>
      </c>
      <c r="K52" s="29">
        <v>1</v>
      </c>
      <c r="L52" s="29"/>
      <c r="M52" s="25" t="s">
        <v>101</v>
      </c>
      <c r="N52" s="15" t="s">
        <v>29</v>
      </c>
      <c r="O52" s="30" t="s">
        <v>36</v>
      </c>
    </row>
    <row r="53" spans="1:15" ht="46.5">
      <c r="A53" s="6">
        <v>10</v>
      </c>
      <c r="B53" s="6" t="s">
        <v>177</v>
      </c>
      <c r="C53" s="6" t="s">
        <v>213</v>
      </c>
      <c r="D53" s="5" t="s">
        <v>214</v>
      </c>
      <c r="E53" s="5" t="s">
        <v>39</v>
      </c>
      <c r="F53" s="6" t="s">
        <v>29</v>
      </c>
      <c r="G53" s="6"/>
      <c r="H53" s="5" t="s">
        <v>212</v>
      </c>
      <c r="I53" s="12"/>
      <c r="J53" s="29" t="s">
        <v>33</v>
      </c>
      <c r="K53" s="29">
        <v>1</v>
      </c>
      <c r="L53" s="29"/>
      <c r="M53" s="25" t="s">
        <v>101</v>
      </c>
      <c r="N53" s="15" t="s">
        <v>29</v>
      </c>
      <c r="O53" s="30" t="s">
        <v>36</v>
      </c>
    </row>
    <row r="54" spans="1:15" ht="46.5">
      <c r="A54" s="6">
        <v>10</v>
      </c>
      <c r="B54" s="6" t="s">
        <v>177</v>
      </c>
      <c r="C54" s="6" t="s">
        <v>215</v>
      </c>
      <c r="D54" s="5" t="s">
        <v>216</v>
      </c>
      <c r="E54" s="5" t="s">
        <v>39</v>
      </c>
      <c r="F54" s="6" t="s">
        <v>29</v>
      </c>
      <c r="G54" s="6"/>
      <c r="H54" s="5" t="s">
        <v>212</v>
      </c>
      <c r="I54" s="12"/>
      <c r="J54" s="29" t="s">
        <v>33</v>
      </c>
      <c r="K54" s="29">
        <v>1</v>
      </c>
      <c r="L54" s="29"/>
      <c r="M54" s="25" t="s">
        <v>101</v>
      </c>
      <c r="N54" s="15" t="s">
        <v>29</v>
      </c>
      <c r="O54" s="30" t="s">
        <v>36</v>
      </c>
    </row>
    <row r="55" spans="1:15" ht="46.5">
      <c r="A55" s="6">
        <v>10</v>
      </c>
      <c r="B55" s="6" t="s">
        <v>177</v>
      </c>
      <c r="C55" s="6" t="s">
        <v>217</v>
      </c>
      <c r="D55" s="5" t="s">
        <v>218</v>
      </c>
      <c r="E55" s="5" t="s">
        <v>39</v>
      </c>
      <c r="F55" s="6" t="s">
        <v>29</v>
      </c>
      <c r="G55" s="6"/>
      <c r="H55" s="5" t="s">
        <v>212</v>
      </c>
      <c r="I55" s="12"/>
      <c r="J55" s="29" t="s">
        <v>33</v>
      </c>
      <c r="K55" s="29">
        <v>1</v>
      </c>
      <c r="L55" s="29"/>
      <c r="M55" s="25" t="s">
        <v>101</v>
      </c>
      <c r="N55" s="15" t="s">
        <v>29</v>
      </c>
      <c r="O55" s="30" t="s">
        <v>36</v>
      </c>
    </row>
    <row r="56" spans="1:15" ht="77.45">
      <c r="A56" s="6">
        <v>10</v>
      </c>
      <c r="B56" s="6" t="s">
        <v>177</v>
      </c>
      <c r="C56" s="6" t="s">
        <v>219</v>
      </c>
      <c r="D56" s="5" t="s">
        <v>220</v>
      </c>
      <c r="E56" s="5" t="s">
        <v>39</v>
      </c>
      <c r="F56" s="6" t="s">
        <v>29</v>
      </c>
      <c r="G56" s="6"/>
      <c r="H56" s="5" t="s">
        <v>212</v>
      </c>
      <c r="I56" s="12"/>
      <c r="J56" s="29" t="s">
        <v>33</v>
      </c>
      <c r="K56" s="29">
        <v>1</v>
      </c>
      <c r="L56" s="29"/>
      <c r="M56" s="25" t="s">
        <v>101</v>
      </c>
      <c r="N56" s="15" t="s">
        <v>29</v>
      </c>
      <c r="O56" s="30" t="s">
        <v>36</v>
      </c>
    </row>
    <row r="57" spans="1:15" ht="62.1">
      <c r="A57" s="6">
        <v>10</v>
      </c>
      <c r="B57" s="6" t="s">
        <v>177</v>
      </c>
      <c r="C57" s="6" t="s">
        <v>221</v>
      </c>
      <c r="D57" s="5" t="s">
        <v>222</v>
      </c>
      <c r="E57" s="5" t="s">
        <v>39</v>
      </c>
      <c r="F57" s="6" t="s">
        <v>29</v>
      </c>
      <c r="G57" s="6"/>
      <c r="H57" s="5" t="s">
        <v>223</v>
      </c>
      <c r="I57" s="12"/>
      <c r="J57" s="29" t="s">
        <v>33</v>
      </c>
      <c r="K57" s="29">
        <v>1</v>
      </c>
      <c r="L57" s="29"/>
      <c r="M57" s="25" t="s">
        <v>101</v>
      </c>
      <c r="N57" s="15" t="s">
        <v>29</v>
      </c>
      <c r="O57" s="30" t="s">
        <v>36</v>
      </c>
    </row>
    <row r="58" spans="1:15" ht="30.95">
      <c r="A58" s="6">
        <v>10</v>
      </c>
      <c r="B58" s="6" t="s">
        <v>177</v>
      </c>
      <c r="C58" s="6" t="s">
        <v>224</v>
      </c>
      <c r="D58" s="5" t="s">
        <v>225</v>
      </c>
      <c r="E58" s="5" t="s">
        <v>39</v>
      </c>
      <c r="F58" s="6" t="s">
        <v>29</v>
      </c>
      <c r="G58" s="6"/>
      <c r="H58" s="5" t="s">
        <v>223</v>
      </c>
      <c r="I58" s="12"/>
      <c r="J58" s="29" t="s">
        <v>33</v>
      </c>
      <c r="K58" s="29">
        <v>1</v>
      </c>
      <c r="L58" s="29"/>
      <c r="M58" s="25" t="s">
        <v>101</v>
      </c>
      <c r="N58" s="15" t="s">
        <v>29</v>
      </c>
      <c r="O58" s="30" t="s">
        <v>36</v>
      </c>
    </row>
    <row r="59" spans="1:15" ht="62.1">
      <c r="A59" s="6">
        <v>10</v>
      </c>
      <c r="B59" s="6" t="s">
        <v>177</v>
      </c>
      <c r="C59" s="6" t="s">
        <v>226</v>
      </c>
      <c r="D59" s="5" t="s">
        <v>227</v>
      </c>
      <c r="E59" s="5" t="s">
        <v>39</v>
      </c>
      <c r="F59" s="6" t="s">
        <v>29</v>
      </c>
      <c r="G59" s="6"/>
      <c r="H59" s="5" t="s">
        <v>223</v>
      </c>
      <c r="I59" s="12"/>
      <c r="J59" s="29" t="s">
        <v>33</v>
      </c>
      <c r="K59" s="29">
        <v>1</v>
      </c>
      <c r="L59" s="29"/>
      <c r="M59" s="25" t="s">
        <v>101</v>
      </c>
      <c r="N59" s="15" t="s">
        <v>29</v>
      </c>
      <c r="O59" s="30" t="s">
        <v>36</v>
      </c>
    </row>
    <row r="60" spans="1:15" ht="30.95">
      <c r="A60" s="6">
        <v>10</v>
      </c>
      <c r="B60" s="6" t="s">
        <v>177</v>
      </c>
      <c r="C60" s="6" t="s">
        <v>228</v>
      </c>
      <c r="D60" s="5" t="s">
        <v>229</v>
      </c>
      <c r="E60" s="5" t="s">
        <v>39</v>
      </c>
      <c r="F60" s="6" t="s">
        <v>29</v>
      </c>
      <c r="G60" s="6"/>
      <c r="H60" s="5" t="s">
        <v>223</v>
      </c>
      <c r="I60" s="12"/>
      <c r="J60" s="29" t="s">
        <v>33</v>
      </c>
      <c r="K60" s="29">
        <v>1</v>
      </c>
      <c r="L60" s="29"/>
      <c r="M60" s="25" t="s">
        <v>101</v>
      </c>
      <c r="N60" s="15" t="s">
        <v>29</v>
      </c>
      <c r="O60" s="30" t="s">
        <v>36</v>
      </c>
    </row>
    <row r="61" spans="1:15" ht="62.1">
      <c r="A61" s="6">
        <v>10</v>
      </c>
      <c r="B61" s="6" t="s">
        <v>177</v>
      </c>
      <c r="C61" s="6" t="s">
        <v>230</v>
      </c>
      <c r="D61" s="5" t="s">
        <v>231</v>
      </c>
      <c r="E61" s="5" t="s">
        <v>39</v>
      </c>
      <c r="F61" s="6" t="s">
        <v>29</v>
      </c>
      <c r="G61" s="6"/>
      <c r="H61" s="5" t="s">
        <v>212</v>
      </c>
      <c r="I61" s="12"/>
      <c r="J61" s="29" t="s">
        <v>33</v>
      </c>
      <c r="K61" s="29">
        <v>1</v>
      </c>
      <c r="L61" s="29"/>
      <c r="M61" s="25" t="s">
        <v>101</v>
      </c>
      <c r="N61" s="15" t="s">
        <v>29</v>
      </c>
      <c r="O61" s="30" t="s">
        <v>36</v>
      </c>
    </row>
    <row r="62" spans="1:15" ht="46.5">
      <c r="A62" s="6">
        <v>10</v>
      </c>
      <c r="B62" s="6" t="s">
        <v>177</v>
      </c>
      <c r="C62" s="6" t="s">
        <v>232</v>
      </c>
      <c r="D62" s="5" t="s">
        <v>233</v>
      </c>
      <c r="E62" s="5" t="s">
        <v>39</v>
      </c>
      <c r="F62" s="6" t="s">
        <v>29</v>
      </c>
      <c r="G62" s="6"/>
      <c r="H62" s="5" t="s">
        <v>212</v>
      </c>
      <c r="I62" s="12"/>
      <c r="J62" s="29" t="s">
        <v>33</v>
      </c>
      <c r="K62" s="29">
        <v>1</v>
      </c>
      <c r="L62" s="29"/>
      <c r="M62" s="25" t="s">
        <v>101</v>
      </c>
      <c r="N62" s="15" t="s">
        <v>29</v>
      </c>
      <c r="O62" s="30" t="s">
        <v>36</v>
      </c>
    </row>
    <row r="63" spans="1:15" ht="30.95">
      <c r="A63" s="6">
        <v>11</v>
      </c>
      <c r="B63" s="6" t="s">
        <v>177</v>
      </c>
      <c r="C63" s="6" t="s">
        <v>234</v>
      </c>
      <c r="D63" s="5" t="s">
        <v>235</v>
      </c>
      <c r="E63" s="5" t="s">
        <v>61</v>
      </c>
      <c r="F63" s="6" t="s">
        <v>29</v>
      </c>
      <c r="G63" s="6"/>
      <c r="H63" s="5" t="s">
        <v>236</v>
      </c>
      <c r="I63" s="12"/>
      <c r="J63" s="29" t="s">
        <v>46</v>
      </c>
      <c r="K63" s="29">
        <v>1</v>
      </c>
      <c r="L63" s="29"/>
      <c r="M63" s="25" t="s">
        <v>48</v>
      </c>
      <c r="N63" s="15" t="s">
        <v>29</v>
      </c>
      <c r="O63" s="30" t="s">
        <v>18</v>
      </c>
    </row>
    <row r="64" spans="1:15" ht="30.95">
      <c r="A64" s="6">
        <v>11</v>
      </c>
      <c r="B64" s="6" t="s">
        <v>177</v>
      </c>
      <c r="C64" s="6" t="s">
        <v>237</v>
      </c>
      <c r="D64" s="5" t="s">
        <v>238</v>
      </c>
      <c r="E64" s="5" t="s">
        <v>61</v>
      </c>
      <c r="F64" s="6" t="s">
        <v>29</v>
      </c>
      <c r="G64" s="6"/>
      <c r="H64" s="5" t="s">
        <v>236</v>
      </c>
      <c r="I64" s="12"/>
      <c r="J64" s="29" t="s">
        <v>46</v>
      </c>
      <c r="K64" s="29">
        <v>1</v>
      </c>
      <c r="L64" s="29"/>
      <c r="M64" s="25" t="s">
        <v>48</v>
      </c>
      <c r="N64" s="15" t="s">
        <v>29</v>
      </c>
      <c r="O64" s="30" t="s">
        <v>18</v>
      </c>
    </row>
    <row r="65" spans="1:15" ht="46.5">
      <c r="A65" s="17">
        <v>11</v>
      </c>
      <c r="B65" s="17" t="s">
        <v>177</v>
      </c>
      <c r="C65" s="17" t="s">
        <v>239</v>
      </c>
      <c r="D65" s="43" t="s">
        <v>240</v>
      </c>
      <c r="E65" s="43" t="s">
        <v>61</v>
      </c>
      <c r="F65" s="17" t="s">
        <v>116</v>
      </c>
      <c r="G65" s="17"/>
      <c r="H65" s="43" t="s">
        <v>241</v>
      </c>
      <c r="I65" s="19" t="s">
        <v>242</v>
      </c>
      <c r="J65" s="44" t="s">
        <v>46</v>
      </c>
      <c r="K65" s="44">
        <v>2</v>
      </c>
      <c r="L65" s="44"/>
      <c r="M65" s="45" t="s">
        <v>243</v>
      </c>
      <c r="N65" s="18" t="s">
        <v>244</v>
      </c>
      <c r="O65" s="46" t="s">
        <v>33</v>
      </c>
    </row>
    <row r="66" spans="1:15" ht="30.95">
      <c r="A66" s="6">
        <v>11</v>
      </c>
      <c r="B66" s="6" t="s">
        <v>177</v>
      </c>
      <c r="C66" s="6" t="s">
        <v>245</v>
      </c>
      <c r="D66" s="5" t="s">
        <v>246</v>
      </c>
      <c r="E66" s="5" t="s">
        <v>61</v>
      </c>
      <c r="F66" s="6" t="s">
        <v>116</v>
      </c>
      <c r="G66" s="6"/>
      <c r="H66" s="5" t="s">
        <v>247</v>
      </c>
      <c r="I66" s="12" t="s">
        <v>248</v>
      </c>
      <c r="J66" s="29" t="s">
        <v>46</v>
      </c>
      <c r="K66" s="29">
        <v>2</v>
      </c>
      <c r="L66" s="29"/>
      <c r="M66" s="25" t="s">
        <v>249</v>
      </c>
      <c r="N66" s="15" t="s">
        <v>250</v>
      </c>
      <c r="O66" s="30" t="s">
        <v>33</v>
      </c>
    </row>
    <row r="67" spans="1:15" ht="30.95">
      <c r="A67" s="6">
        <v>11</v>
      </c>
      <c r="B67" s="6" t="s">
        <v>177</v>
      </c>
      <c r="C67" s="6" t="s">
        <v>251</v>
      </c>
      <c r="D67" s="5" t="s">
        <v>252</v>
      </c>
      <c r="E67" s="5" t="s">
        <v>61</v>
      </c>
      <c r="F67" s="6" t="s">
        <v>29</v>
      </c>
      <c r="G67" s="6"/>
      <c r="H67" s="5" t="s">
        <v>236</v>
      </c>
      <c r="I67" s="12"/>
      <c r="J67" s="29" t="s">
        <v>46</v>
      </c>
      <c r="K67" s="29">
        <v>1</v>
      </c>
      <c r="L67" s="29"/>
      <c r="M67" s="25" t="s">
        <v>48</v>
      </c>
      <c r="N67" s="15" t="s">
        <v>29</v>
      </c>
      <c r="O67" s="30" t="s">
        <v>18</v>
      </c>
    </row>
    <row r="68" spans="1:15" ht="46.5">
      <c r="A68" s="6">
        <v>11</v>
      </c>
      <c r="B68" s="6" t="s">
        <v>177</v>
      </c>
      <c r="C68" s="6" t="s">
        <v>253</v>
      </c>
      <c r="D68" s="5" t="s">
        <v>254</v>
      </c>
      <c r="E68" s="5" t="s">
        <v>61</v>
      </c>
      <c r="F68" s="6" t="s">
        <v>29</v>
      </c>
      <c r="G68" s="6"/>
      <c r="H68" s="5" t="s">
        <v>255</v>
      </c>
      <c r="I68" s="12"/>
      <c r="J68" s="29" t="s">
        <v>46</v>
      </c>
      <c r="K68" s="29">
        <v>1</v>
      </c>
      <c r="L68" s="29"/>
      <c r="M68" s="25" t="s">
        <v>48</v>
      </c>
      <c r="N68" s="15" t="s">
        <v>29</v>
      </c>
      <c r="O68" s="30" t="s">
        <v>18</v>
      </c>
    </row>
    <row r="69" spans="1:15" ht="62.1">
      <c r="A69" s="6">
        <v>11</v>
      </c>
      <c r="B69" s="6" t="s">
        <v>177</v>
      </c>
      <c r="C69" s="6" t="s">
        <v>256</v>
      </c>
      <c r="D69" s="5" t="s">
        <v>257</v>
      </c>
      <c r="E69" s="5" t="s">
        <v>61</v>
      </c>
      <c r="F69" s="6" t="s">
        <v>258</v>
      </c>
      <c r="G69" s="6"/>
      <c r="H69" s="5" t="s">
        <v>259</v>
      </c>
      <c r="I69" s="12" t="s">
        <v>260</v>
      </c>
      <c r="J69" s="29" t="s">
        <v>46</v>
      </c>
      <c r="K69" s="29">
        <v>2</v>
      </c>
      <c r="L69" s="29"/>
      <c r="M69" s="25" t="s">
        <v>261</v>
      </c>
      <c r="N69" s="15" t="s">
        <v>262</v>
      </c>
      <c r="O69" s="30" t="s">
        <v>33</v>
      </c>
    </row>
    <row r="70" spans="1:15" ht="93">
      <c r="A70" s="6">
        <v>11</v>
      </c>
      <c r="B70" s="6" t="s">
        <v>177</v>
      </c>
      <c r="C70" s="6" t="s">
        <v>263</v>
      </c>
      <c r="D70" s="5" t="s">
        <v>264</v>
      </c>
      <c r="E70" s="5" t="s">
        <v>61</v>
      </c>
      <c r="F70" s="6" t="s">
        <v>29</v>
      </c>
      <c r="G70" s="6"/>
      <c r="H70" s="5" t="s">
        <v>265</v>
      </c>
      <c r="I70" s="12"/>
      <c r="J70" s="29" t="s">
        <v>46</v>
      </c>
      <c r="K70" s="29">
        <v>1</v>
      </c>
      <c r="L70" s="29"/>
      <c r="M70" s="25" t="s">
        <v>48</v>
      </c>
      <c r="N70" s="15" t="s">
        <v>29</v>
      </c>
      <c r="O70" s="30" t="s">
        <v>18</v>
      </c>
    </row>
    <row r="71" spans="1:15" ht="62.1">
      <c r="A71" s="6">
        <v>11</v>
      </c>
      <c r="B71" s="6" t="s">
        <v>266</v>
      </c>
      <c r="C71" s="6" t="s">
        <v>267</v>
      </c>
      <c r="D71" s="5" t="s">
        <v>268</v>
      </c>
      <c r="E71" s="5" t="s">
        <v>39</v>
      </c>
      <c r="F71" s="6" t="s">
        <v>29</v>
      </c>
      <c r="G71" s="6"/>
      <c r="H71" s="5" t="s">
        <v>269</v>
      </c>
      <c r="I71" s="12"/>
      <c r="J71" s="29" t="s">
        <v>33</v>
      </c>
      <c r="K71" s="29">
        <v>1</v>
      </c>
      <c r="L71" s="29"/>
      <c r="M71" s="25" t="s">
        <v>101</v>
      </c>
      <c r="N71" s="15" t="s">
        <v>29</v>
      </c>
      <c r="O71" s="30" t="s">
        <v>36</v>
      </c>
    </row>
    <row r="72" spans="1:15" ht="62.1">
      <c r="A72" s="6">
        <v>11</v>
      </c>
      <c r="B72" s="6" t="s">
        <v>266</v>
      </c>
      <c r="C72" s="6" t="s">
        <v>270</v>
      </c>
      <c r="D72" s="5" t="s">
        <v>271</v>
      </c>
      <c r="E72" s="5" t="s">
        <v>39</v>
      </c>
      <c r="F72" s="6" t="s">
        <v>29</v>
      </c>
      <c r="G72" s="6"/>
      <c r="H72" s="5" t="s">
        <v>269</v>
      </c>
      <c r="I72" s="12"/>
      <c r="J72" s="29" t="s">
        <v>33</v>
      </c>
      <c r="K72" s="29">
        <v>1</v>
      </c>
      <c r="L72" s="29"/>
      <c r="M72" s="25" t="s">
        <v>101</v>
      </c>
      <c r="N72" s="15" t="s">
        <v>29</v>
      </c>
      <c r="O72" s="30" t="s">
        <v>36</v>
      </c>
    </row>
    <row r="73" spans="1:15" ht="123.95">
      <c r="A73" s="6">
        <v>11</v>
      </c>
      <c r="B73" s="6" t="s">
        <v>266</v>
      </c>
      <c r="C73" s="6" t="s">
        <v>272</v>
      </c>
      <c r="D73" s="5" t="s">
        <v>273</v>
      </c>
      <c r="E73" s="5" t="s">
        <v>39</v>
      </c>
      <c r="F73" s="34" t="s">
        <v>29</v>
      </c>
      <c r="G73" s="34"/>
      <c r="H73" s="5" t="s">
        <v>274</v>
      </c>
      <c r="I73" s="12"/>
      <c r="J73" s="29" t="s">
        <v>33</v>
      </c>
      <c r="K73" s="29">
        <v>1</v>
      </c>
      <c r="L73" s="29"/>
      <c r="M73" s="25" t="s">
        <v>81</v>
      </c>
      <c r="N73" s="15" t="s">
        <v>29</v>
      </c>
      <c r="O73" s="30" t="s">
        <v>36</v>
      </c>
    </row>
    <row r="74" spans="1:15" ht="117.6" customHeight="1">
      <c r="A74" s="6">
        <v>11</v>
      </c>
      <c r="B74" s="6" t="s">
        <v>266</v>
      </c>
      <c r="C74" s="6" t="s">
        <v>275</v>
      </c>
      <c r="D74" s="5" t="s">
        <v>276</v>
      </c>
      <c r="E74" s="5" t="s">
        <v>61</v>
      </c>
      <c r="F74" s="6" t="s">
        <v>62</v>
      </c>
      <c r="G74" s="6"/>
      <c r="H74" s="5" t="s">
        <v>277</v>
      </c>
      <c r="I74" s="12" t="s">
        <v>278</v>
      </c>
      <c r="J74" s="29" t="s">
        <v>33</v>
      </c>
      <c r="K74" s="29">
        <v>3</v>
      </c>
      <c r="L74" s="29"/>
      <c r="M74" s="25" t="s">
        <v>279</v>
      </c>
      <c r="N74" s="15" t="s">
        <v>29</v>
      </c>
      <c r="O74" s="30" t="s">
        <v>36</v>
      </c>
    </row>
    <row r="75" spans="1:15" ht="62.1">
      <c r="A75" s="6">
        <v>11</v>
      </c>
      <c r="B75" s="6" t="s">
        <v>266</v>
      </c>
      <c r="C75" s="6" t="s">
        <v>280</v>
      </c>
      <c r="D75" s="5" t="s">
        <v>281</v>
      </c>
      <c r="E75" s="5" t="s">
        <v>61</v>
      </c>
      <c r="F75" s="34" t="s">
        <v>29</v>
      </c>
      <c r="G75" s="34"/>
      <c r="H75" s="5" t="s">
        <v>282</v>
      </c>
      <c r="I75" s="12" t="s">
        <v>283</v>
      </c>
      <c r="J75" s="29" t="s">
        <v>46</v>
      </c>
      <c r="K75" s="29">
        <v>2</v>
      </c>
      <c r="L75" s="29"/>
      <c r="M75" s="25" t="s">
        <v>284</v>
      </c>
      <c r="N75" s="15" t="s">
        <v>29</v>
      </c>
      <c r="O75" s="30" t="s">
        <v>36</v>
      </c>
    </row>
    <row r="76" spans="1:15" ht="62.1">
      <c r="A76" s="6">
        <v>11</v>
      </c>
      <c r="B76" s="6" t="s">
        <v>266</v>
      </c>
      <c r="C76" s="6" t="s">
        <v>285</v>
      </c>
      <c r="D76" s="5" t="s">
        <v>286</v>
      </c>
      <c r="E76" s="5" t="s">
        <v>61</v>
      </c>
      <c r="F76" s="34" t="s">
        <v>29</v>
      </c>
      <c r="G76" s="34"/>
      <c r="H76" s="5" t="s">
        <v>287</v>
      </c>
      <c r="I76" s="12" t="s">
        <v>283</v>
      </c>
      <c r="J76" s="29" t="s">
        <v>46</v>
      </c>
      <c r="K76" s="29">
        <v>2</v>
      </c>
      <c r="L76" s="29"/>
      <c r="M76" s="25" t="s">
        <v>284</v>
      </c>
      <c r="N76" s="15" t="s">
        <v>29</v>
      </c>
      <c r="O76" s="30" t="s">
        <v>36</v>
      </c>
    </row>
    <row r="77" spans="1:15" ht="62.1">
      <c r="A77" s="6">
        <v>11</v>
      </c>
      <c r="B77" s="6" t="s">
        <v>266</v>
      </c>
      <c r="C77" s="6" t="s">
        <v>288</v>
      </c>
      <c r="D77" s="5" t="s">
        <v>289</v>
      </c>
      <c r="E77" s="5" t="s">
        <v>61</v>
      </c>
      <c r="F77" s="6" t="s">
        <v>62</v>
      </c>
      <c r="G77" s="6"/>
      <c r="H77" s="5" t="s">
        <v>290</v>
      </c>
      <c r="I77" s="12" t="s">
        <v>291</v>
      </c>
      <c r="J77" s="29" t="s">
        <v>46</v>
      </c>
      <c r="K77" s="29">
        <v>2</v>
      </c>
      <c r="L77" s="29"/>
      <c r="M77" s="25" t="s">
        <v>292</v>
      </c>
      <c r="N77" s="15" t="s">
        <v>293</v>
      </c>
      <c r="O77" s="30" t="s">
        <v>36</v>
      </c>
    </row>
    <row r="78" spans="1:15" ht="77.45">
      <c r="A78" s="6">
        <v>12</v>
      </c>
      <c r="B78" s="6" t="s">
        <v>266</v>
      </c>
      <c r="C78" s="6" t="s">
        <v>294</v>
      </c>
      <c r="D78" s="5" t="s">
        <v>295</v>
      </c>
      <c r="E78" s="5" t="s">
        <v>61</v>
      </c>
      <c r="F78" s="6" t="s">
        <v>62</v>
      </c>
      <c r="G78" s="6"/>
      <c r="H78" s="5" t="s">
        <v>296</v>
      </c>
      <c r="I78" s="12" t="s">
        <v>297</v>
      </c>
      <c r="J78" s="29" t="s">
        <v>33</v>
      </c>
      <c r="K78" s="29">
        <v>1</v>
      </c>
      <c r="L78" s="29"/>
      <c r="M78" s="25" t="s">
        <v>298</v>
      </c>
      <c r="N78" s="15" t="s">
        <v>299</v>
      </c>
      <c r="O78" s="30" t="s">
        <v>18</v>
      </c>
    </row>
    <row r="79" spans="1:15" ht="62.1">
      <c r="A79" s="6">
        <v>12</v>
      </c>
      <c r="B79" s="6" t="s">
        <v>266</v>
      </c>
      <c r="C79" s="6" t="s">
        <v>300</v>
      </c>
      <c r="D79" s="5" t="s">
        <v>301</v>
      </c>
      <c r="E79" s="5" t="s">
        <v>61</v>
      </c>
      <c r="F79" s="6" t="s">
        <v>62</v>
      </c>
      <c r="G79" s="6"/>
      <c r="H79" s="5" t="s">
        <v>302</v>
      </c>
      <c r="I79" s="12" t="s">
        <v>291</v>
      </c>
      <c r="J79" s="29" t="s">
        <v>46</v>
      </c>
      <c r="K79" s="29">
        <v>2</v>
      </c>
      <c r="L79" s="29"/>
      <c r="M79" s="25" t="s">
        <v>292</v>
      </c>
      <c r="N79" s="15" t="s">
        <v>293</v>
      </c>
      <c r="O79" s="30" t="s">
        <v>36</v>
      </c>
    </row>
    <row r="80" spans="1:15" ht="77.45">
      <c r="A80" s="6">
        <v>12</v>
      </c>
      <c r="B80" s="6" t="s">
        <v>266</v>
      </c>
      <c r="C80" s="6" t="s">
        <v>303</v>
      </c>
      <c r="D80" s="5" t="s">
        <v>304</v>
      </c>
      <c r="E80" s="5" t="s">
        <v>61</v>
      </c>
      <c r="F80" s="6" t="s">
        <v>62</v>
      </c>
      <c r="G80" s="6"/>
      <c r="H80" s="5" t="s">
        <v>296</v>
      </c>
      <c r="I80" s="12" t="s">
        <v>297</v>
      </c>
      <c r="J80" s="29" t="s">
        <v>33</v>
      </c>
      <c r="K80" s="29">
        <v>1</v>
      </c>
      <c r="L80" s="29"/>
      <c r="M80" s="25" t="s">
        <v>298</v>
      </c>
      <c r="N80" s="15" t="s">
        <v>305</v>
      </c>
      <c r="O80" s="30" t="s">
        <v>18</v>
      </c>
    </row>
    <row r="81" spans="1:15" ht="62.1">
      <c r="A81" s="6">
        <v>12</v>
      </c>
      <c r="B81" s="6" t="s">
        <v>266</v>
      </c>
      <c r="C81" s="6" t="s">
        <v>306</v>
      </c>
      <c r="D81" s="5" t="s">
        <v>307</v>
      </c>
      <c r="E81" s="5" t="s">
        <v>61</v>
      </c>
      <c r="F81" s="6" t="s">
        <v>116</v>
      </c>
      <c r="G81" s="6"/>
      <c r="H81" s="5" t="s">
        <v>308</v>
      </c>
      <c r="I81" s="12" t="s">
        <v>45</v>
      </c>
      <c r="J81" s="29" t="s">
        <v>46</v>
      </c>
      <c r="K81" s="29">
        <v>1</v>
      </c>
      <c r="L81" s="29"/>
      <c r="M81" s="25" t="s">
        <v>309</v>
      </c>
      <c r="N81" s="15" t="s">
        <v>310</v>
      </c>
      <c r="O81" s="30" t="s">
        <v>18</v>
      </c>
    </row>
    <row r="82" spans="1:15" ht="30.95">
      <c r="A82" s="6">
        <v>12</v>
      </c>
      <c r="B82" s="6" t="s">
        <v>266</v>
      </c>
      <c r="C82" s="6" t="s">
        <v>311</v>
      </c>
      <c r="D82" s="5" t="s">
        <v>312</v>
      </c>
      <c r="E82" s="5" t="s">
        <v>61</v>
      </c>
      <c r="F82" s="6" t="s">
        <v>29</v>
      </c>
      <c r="G82" s="6"/>
      <c r="H82" s="5" t="s">
        <v>313</v>
      </c>
      <c r="I82" s="12"/>
      <c r="J82" s="29" t="s">
        <v>46</v>
      </c>
      <c r="K82" s="29">
        <v>1</v>
      </c>
      <c r="L82" s="29"/>
      <c r="M82" s="25" t="s">
        <v>292</v>
      </c>
      <c r="N82" s="15" t="s">
        <v>29</v>
      </c>
      <c r="O82" s="30" t="s">
        <v>18</v>
      </c>
    </row>
    <row r="83" spans="1:15" ht="30.95">
      <c r="A83" s="6">
        <v>12</v>
      </c>
      <c r="B83" s="6" t="s">
        <v>266</v>
      </c>
      <c r="C83" s="6" t="s">
        <v>314</v>
      </c>
      <c r="D83" s="5" t="s">
        <v>315</v>
      </c>
      <c r="E83" s="5" t="s">
        <v>61</v>
      </c>
      <c r="F83" s="6" t="s">
        <v>116</v>
      </c>
      <c r="G83" s="6"/>
      <c r="H83" s="5" t="s">
        <v>316</v>
      </c>
      <c r="I83" s="12" t="s">
        <v>317</v>
      </c>
      <c r="J83" s="29" t="s">
        <v>46</v>
      </c>
      <c r="K83" s="29">
        <v>2</v>
      </c>
      <c r="L83" s="29"/>
      <c r="M83" s="25" t="s">
        <v>318</v>
      </c>
      <c r="N83" s="15" t="s">
        <v>319</v>
      </c>
      <c r="O83" s="30" t="s">
        <v>36</v>
      </c>
    </row>
    <row r="84" spans="1:15" ht="30.95">
      <c r="A84" s="6">
        <v>12</v>
      </c>
      <c r="B84" s="6" t="s">
        <v>266</v>
      </c>
      <c r="C84" s="6" t="s">
        <v>320</v>
      </c>
      <c r="D84" s="5" t="s">
        <v>321</v>
      </c>
      <c r="E84" s="5" t="s">
        <v>61</v>
      </c>
      <c r="F84" s="6" t="s">
        <v>29</v>
      </c>
      <c r="G84" s="6"/>
      <c r="H84" s="5" t="s">
        <v>56</v>
      </c>
      <c r="I84" s="12"/>
      <c r="J84" s="29" t="s">
        <v>46</v>
      </c>
      <c r="K84" s="29">
        <v>1</v>
      </c>
      <c r="L84" s="29"/>
      <c r="M84" s="25" t="s">
        <v>322</v>
      </c>
      <c r="N84" s="15" t="s">
        <v>29</v>
      </c>
      <c r="O84" s="30" t="s">
        <v>18</v>
      </c>
    </row>
    <row r="85" spans="1:15" ht="30.95">
      <c r="A85" s="6">
        <v>12</v>
      </c>
      <c r="B85" s="6" t="s">
        <v>266</v>
      </c>
      <c r="C85" s="6" t="s">
        <v>323</v>
      </c>
      <c r="D85" s="5" t="s">
        <v>324</v>
      </c>
      <c r="E85" s="5" t="s">
        <v>61</v>
      </c>
      <c r="F85" s="6" t="s">
        <v>116</v>
      </c>
      <c r="G85" s="6"/>
      <c r="H85" s="5" t="s">
        <v>325</v>
      </c>
      <c r="I85" s="12" t="s">
        <v>45</v>
      </c>
      <c r="J85" s="29" t="s">
        <v>46</v>
      </c>
      <c r="K85" s="29">
        <v>1</v>
      </c>
      <c r="L85" s="29"/>
      <c r="M85" s="25" t="s">
        <v>326</v>
      </c>
      <c r="N85" s="15" t="s">
        <v>327</v>
      </c>
      <c r="O85" s="30" t="s">
        <v>18</v>
      </c>
    </row>
    <row r="86" spans="1:15" ht="46.5">
      <c r="A86" s="6">
        <v>12</v>
      </c>
      <c r="B86" s="6" t="s">
        <v>266</v>
      </c>
      <c r="C86" s="6" t="s">
        <v>328</v>
      </c>
      <c r="D86" s="5" t="s">
        <v>329</v>
      </c>
      <c r="E86" s="5" t="s">
        <v>39</v>
      </c>
      <c r="F86" s="34" t="s">
        <v>29</v>
      </c>
      <c r="G86" s="34"/>
      <c r="H86" s="5" t="s">
        <v>330</v>
      </c>
      <c r="I86" s="12" t="s">
        <v>331</v>
      </c>
      <c r="J86" s="29" t="s">
        <v>33</v>
      </c>
      <c r="K86" s="29">
        <v>1</v>
      </c>
      <c r="L86" s="29"/>
      <c r="M86" s="25" t="s">
        <v>35</v>
      </c>
      <c r="N86" s="15" t="s">
        <v>29</v>
      </c>
      <c r="O86" s="30" t="s">
        <v>36</v>
      </c>
    </row>
    <row r="87" spans="1:15" ht="62.1">
      <c r="A87" s="6">
        <v>13</v>
      </c>
      <c r="B87" s="6" t="s">
        <v>266</v>
      </c>
      <c r="C87" s="6" t="s">
        <v>189</v>
      </c>
      <c r="D87" s="5" t="s">
        <v>332</v>
      </c>
      <c r="E87" s="5" t="s">
        <v>39</v>
      </c>
      <c r="F87" s="6" t="s">
        <v>29</v>
      </c>
      <c r="G87" s="6"/>
      <c r="H87" s="5" t="s">
        <v>333</v>
      </c>
      <c r="I87" s="12"/>
      <c r="J87" s="29" t="s">
        <v>33</v>
      </c>
      <c r="K87" s="29">
        <v>1</v>
      </c>
      <c r="L87" s="29"/>
      <c r="M87" s="25" t="s">
        <v>101</v>
      </c>
      <c r="N87" s="15" t="s">
        <v>29</v>
      </c>
      <c r="O87" s="30" t="s">
        <v>36</v>
      </c>
    </row>
    <row r="88" spans="1:15" ht="46.5">
      <c r="A88" s="6">
        <v>13</v>
      </c>
      <c r="B88" s="6" t="s">
        <v>266</v>
      </c>
      <c r="C88" s="6" t="s">
        <v>334</v>
      </c>
      <c r="D88" s="5" t="s">
        <v>335</v>
      </c>
      <c r="E88" s="5" t="s">
        <v>39</v>
      </c>
      <c r="F88" s="6" t="s">
        <v>29</v>
      </c>
      <c r="G88" s="6"/>
      <c r="H88" s="5" t="s">
        <v>336</v>
      </c>
      <c r="I88" s="12"/>
      <c r="J88" s="29" t="s">
        <v>33</v>
      </c>
      <c r="K88" s="29">
        <v>1</v>
      </c>
      <c r="L88" s="29"/>
      <c r="M88" s="25" t="s">
        <v>101</v>
      </c>
      <c r="N88" s="15" t="s">
        <v>29</v>
      </c>
      <c r="O88" s="30" t="s">
        <v>36</v>
      </c>
    </row>
    <row r="89" spans="1:15" ht="77.45">
      <c r="A89" s="6">
        <v>13</v>
      </c>
      <c r="B89" s="6" t="s">
        <v>266</v>
      </c>
      <c r="C89" s="6" t="s">
        <v>337</v>
      </c>
      <c r="D89" s="5" t="s">
        <v>338</v>
      </c>
      <c r="E89" s="5" t="s">
        <v>39</v>
      </c>
      <c r="F89" s="6" t="s">
        <v>29</v>
      </c>
      <c r="G89" s="6"/>
      <c r="H89" s="5" t="s">
        <v>339</v>
      </c>
      <c r="I89" s="12"/>
      <c r="J89" s="29" t="s">
        <v>33</v>
      </c>
      <c r="K89" s="29">
        <v>1</v>
      </c>
      <c r="L89" s="29"/>
      <c r="M89" s="25" t="s">
        <v>101</v>
      </c>
      <c r="N89" s="15" t="s">
        <v>29</v>
      </c>
      <c r="O89" s="30" t="s">
        <v>36</v>
      </c>
    </row>
    <row r="90" spans="1:15" ht="46.5">
      <c r="A90" s="6">
        <v>13</v>
      </c>
      <c r="B90" s="6" t="s">
        <v>266</v>
      </c>
      <c r="C90" s="6" t="s">
        <v>340</v>
      </c>
      <c r="D90" s="5" t="s">
        <v>341</v>
      </c>
      <c r="E90" s="5" t="s">
        <v>39</v>
      </c>
      <c r="F90" s="6" t="s">
        <v>29</v>
      </c>
      <c r="G90" s="6"/>
      <c r="H90" s="5" t="s">
        <v>342</v>
      </c>
      <c r="I90" s="12"/>
      <c r="J90" s="29" t="s">
        <v>33</v>
      </c>
      <c r="K90" s="29">
        <v>1</v>
      </c>
      <c r="L90" s="29"/>
      <c r="M90" s="25" t="s">
        <v>101</v>
      </c>
      <c r="N90" s="15" t="s">
        <v>29</v>
      </c>
      <c r="O90" s="30" t="s">
        <v>36</v>
      </c>
    </row>
    <row r="91" spans="1:15" ht="62.1">
      <c r="A91" s="6">
        <v>13</v>
      </c>
      <c r="B91" s="6" t="s">
        <v>266</v>
      </c>
      <c r="C91" s="6" t="s">
        <v>343</v>
      </c>
      <c r="D91" s="5" t="s">
        <v>344</v>
      </c>
      <c r="E91" s="5" t="s">
        <v>39</v>
      </c>
      <c r="F91" s="6" t="s">
        <v>29</v>
      </c>
      <c r="G91" s="6"/>
      <c r="H91" s="5" t="s">
        <v>345</v>
      </c>
      <c r="I91" s="12"/>
      <c r="J91" s="29" t="s">
        <v>33</v>
      </c>
      <c r="K91" s="29">
        <v>1</v>
      </c>
      <c r="L91" s="29"/>
      <c r="M91" s="25" t="s">
        <v>101</v>
      </c>
      <c r="N91" s="15" t="s">
        <v>29</v>
      </c>
      <c r="O91" s="30" t="s">
        <v>36</v>
      </c>
    </row>
    <row r="92" spans="1:15" ht="108.6" customHeight="1">
      <c r="A92" s="6">
        <v>13</v>
      </c>
      <c r="B92" s="6" t="s">
        <v>266</v>
      </c>
      <c r="C92" s="6" t="s">
        <v>192</v>
      </c>
      <c r="D92" s="5" t="s">
        <v>346</v>
      </c>
      <c r="E92" s="5" t="s">
        <v>61</v>
      </c>
      <c r="F92" s="34" t="s">
        <v>29</v>
      </c>
      <c r="G92" s="34"/>
      <c r="H92" s="36" t="s">
        <v>347</v>
      </c>
      <c r="I92" s="12" t="s">
        <v>348</v>
      </c>
      <c r="J92" s="29" t="s">
        <v>46</v>
      </c>
      <c r="K92" s="29">
        <v>1</v>
      </c>
      <c r="L92" s="29"/>
      <c r="M92" s="25" t="s">
        <v>96</v>
      </c>
      <c r="N92" s="15" t="s">
        <v>29</v>
      </c>
      <c r="O92" s="30" t="s">
        <v>36</v>
      </c>
    </row>
    <row r="93" spans="1:15" ht="108">
      <c r="A93" s="6">
        <v>13</v>
      </c>
      <c r="B93" s="6" t="s">
        <v>266</v>
      </c>
      <c r="C93" s="6" t="s">
        <v>198</v>
      </c>
      <c r="D93" s="5" t="s">
        <v>349</v>
      </c>
      <c r="E93" s="5" t="s">
        <v>61</v>
      </c>
      <c r="F93" s="34" t="s">
        <v>29</v>
      </c>
      <c r="G93" s="34"/>
      <c r="H93" s="36" t="s">
        <v>347</v>
      </c>
      <c r="I93" s="12" t="s">
        <v>348</v>
      </c>
      <c r="J93" s="29" t="s">
        <v>46</v>
      </c>
      <c r="K93" s="29">
        <v>1</v>
      </c>
      <c r="L93" s="29"/>
      <c r="M93" s="25" t="s">
        <v>96</v>
      </c>
      <c r="N93" s="15" t="s">
        <v>29</v>
      </c>
      <c r="O93" s="30" t="s">
        <v>36</v>
      </c>
    </row>
    <row r="94" spans="1:15" ht="108">
      <c r="A94" s="6">
        <v>13</v>
      </c>
      <c r="B94" s="6" t="s">
        <v>266</v>
      </c>
      <c r="C94" s="6" t="s">
        <v>203</v>
      </c>
      <c r="D94" s="5" t="s">
        <v>350</v>
      </c>
      <c r="E94" s="5" t="s">
        <v>61</v>
      </c>
      <c r="F94" s="34" t="s">
        <v>29</v>
      </c>
      <c r="G94" s="34"/>
      <c r="H94" s="36" t="s">
        <v>347</v>
      </c>
      <c r="I94" s="12" t="s">
        <v>348</v>
      </c>
      <c r="J94" s="29" t="s">
        <v>46</v>
      </c>
      <c r="K94" s="29">
        <v>1</v>
      </c>
      <c r="L94" s="29"/>
      <c r="M94" s="25" t="s">
        <v>96</v>
      </c>
      <c r="N94" s="15" t="s">
        <v>29</v>
      </c>
      <c r="O94" s="30" t="s">
        <v>36</v>
      </c>
    </row>
    <row r="95" spans="1:15" ht="108">
      <c r="A95" s="6">
        <v>13</v>
      </c>
      <c r="B95" s="6" t="s">
        <v>266</v>
      </c>
      <c r="C95" s="6" t="s">
        <v>206</v>
      </c>
      <c r="D95" s="5" t="s">
        <v>351</v>
      </c>
      <c r="E95" s="5" t="s">
        <v>61</v>
      </c>
      <c r="F95" s="34" t="s">
        <v>29</v>
      </c>
      <c r="G95" s="34"/>
      <c r="H95" s="36" t="s">
        <v>347</v>
      </c>
      <c r="I95" s="12" t="s">
        <v>348</v>
      </c>
      <c r="J95" s="29" t="s">
        <v>46</v>
      </c>
      <c r="K95" s="29">
        <v>1</v>
      </c>
      <c r="L95" s="29"/>
      <c r="M95" s="25" t="s">
        <v>96</v>
      </c>
      <c r="N95" s="15" t="s">
        <v>29</v>
      </c>
      <c r="O95" s="30" t="s">
        <v>36</v>
      </c>
    </row>
    <row r="96" spans="1:15" ht="108">
      <c r="A96" s="6">
        <v>13</v>
      </c>
      <c r="B96" s="6" t="s">
        <v>266</v>
      </c>
      <c r="C96" s="6" t="s">
        <v>352</v>
      </c>
      <c r="D96" s="5" t="s">
        <v>353</v>
      </c>
      <c r="E96" s="5" t="s">
        <v>61</v>
      </c>
      <c r="F96" s="34" t="s">
        <v>29</v>
      </c>
      <c r="G96" s="34"/>
      <c r="H96" s="36" t="s">
        <v>347</v>
      </c>
      <c r="I96" s="12" t="s">
        <v>348</v>
      </c>
      <c r="J96" s="29" t="s">
        <v>46</v>
      </c>
      <c r="K96" s="29">
        <v>1</v>
      </c>
      <c r="L96" s="29"/>
      <c r="M96" s="25" t="s">
        <v>96</v>
      </c>
      <c r="N96" s="15" t="s">
        <v>29</v>
      </c>
      <c r="O96" s="30" t="s">
        <v>36</v>
      </c>
    </row>
    <row r="97" spans="1:15" ht="108.6">
      <c r="A97" s="6">
        <v>13</v>
      </c>
      <c r="B97" s="6" t="s">
        <v>266</v>
      </c>
      <c r="C97" s="6" t="s">
        <v>354</v>
      </c>
      <c r="D97" s="5" t="s">
        <v>355</v>
      </c>
      <c r="E97" s="35" t="s">
        <v>61</v>
      </c>
      <c r="F97" s="34" t="s">
        <v>29</v>
      </c>
      <c r="G97" s="34"/>
      <c r="H97" s="36" t="s">
        <v>347</v>
      </c>
      <c r="I97" s="12" t="s">
        <v>348</v>
      </c>
      <c r="J97" s="29" t="s">
        <v>46</v>
      </c>
      <c r="K97" s="29">
        <v>1</v>
      </c>
      <c r="L97" s="29"/>
      <c r="M97" s="25" t="s">
        <v>96</v>
      </c>
      <c r="N97" s="15" t="s">
        <v>29</v>
      </c>
      <c r="O97" s="30" t="s">
        <v>36</v>
      </c>
    </row>
    <row r="98" spans="1:15" ht="108">
      <c r="A98" s="6">
        <v>13</v>
      </c>
      <c r="B98" s="6" t="s">
        <v>266</v>
      </c>
      <c r="C98" s="6" t="s">
        <v>356</v>
      </c>
      <c r="D98" s="5" t="s">
        <v>357</v>
      </c>
      <c r="E98" s="35" t="s">
        <v>61</v>
      </c>
      <c r="F98" s="34" t="s">
        <v>29</v>
      </c>
      <c r="G98" s="34"/>
      <c r="H98" s="36" t="s">
        <v>347</v>
      </c>
      <c r="I98" s="12" t="s">
        <v>348</v>
      </c>
      <c r="J98" s="29" t="s">
        <v>46</v>
      </c>
      <c r="K98" s="29">
        <v>1</v>
      </c>
      <c r="L98" s="29"/>
      <c r="M98" s="25" t="s">
        <v>96</v>
      </c>
      <c r="N98" s="15" t="s">
        <v>29</v>
      </c>
      <c r="O98" s="30" t="s">
        <v>36</v>
      </c>
    </row>
    <row r="99" spans="1:15" ht="139.5">
      <c r="A99" s="6">
        <v>13</v>
      </c>
      <c r="B99" s="6" t="s">
        <v>266</v>
      </c>
      <c r="C99" s="6" t="s">
        <v>358</v>
      </c>
      <c r="D99" s="5" t="s">
        <v>359</v>
      </c>
      <c r="E99" s="35" t="s">
        <v>61</v>
      </c>
      <c r="F99" s="34" t="s">
        <v>29</v>
      </c>
      <c r="G99" s="34"/>
      <c r="H99" s="36" t="s">
        <v>347</v>
      </c>
      <c r="I99" s="12" t="s">
        <v>348</v>
      </c>
      <c r="J99" s="29" t="s">
        <v>46</v>
      </c>
      <c r="K99" s="29">
        <v>1</v>
      </c>
      <c r="L99" s="29"/>
      <c r="M99" s="25" t="s">
        <v>96</v>
      </c>
      <c r="N99" s="15" t="s">
        <v>29</v>
      </c>
      <c r="O99" s="30" t="s">
        <v>36</v>
      </c>
    </row>
    <row r="100" spans="1:15" ht="108">
      <c r="A100" s="6">
        <v>13</v>
      </c>
      <c r="B100" s="6" t="s">
        <v>266</v>
      </c>
      <c r="C100" s="6" t="s">
        <v>360</v>
      </c>
      <c r="D100" s="5" t="s">
        <v>361</v>
      </c>
      <c r="E100" s="35" t="s">
        <v>61</v>
      </c>
      <c r="F100" s="34" t="s">
        <v>29</v>
      </c>
      <c r="G100" s="34"/>
      <c r="H100" s="36" t="s">
        <v>347</v>
      </c>
      <c r="I100" s="12" t="s">
        <v>348</v>
      </c>
      <c r="J100" s="29" t="s">
        <v>46</v>
      </c>
      <c r="K100" s="29">
        <v>1</v>
      </c>
      <c r="L100" s="29"/>
      <c r="M100" s="25" t="s">
        <v>96</v>
      </c>
      <c r="N100" s="15" t="s">
        <v>29</v>
      </c>
      <c r="O100" s="30" t="s">
        <v>36</v>
      </c>
    </row>
    <row r="101" spans="1:15" ht="108">
      <c r="A101" s="6">
        <v>14</v>
      </c>
      <c r="B101" s="6" t="s">
        <v>266</v>
      </c>
      <c r="C101" s="6" t="s">
        <v>360</v>
      </c>
      <c r="D101" s="5" t="s">
        <v>362</v>
      </c>
      <c r="E101" s="35" t="s">
        <v>61</v>
      </c>
      <c r="F101" s="34" t="s">
        <v>29</v>
      </c>
      <c r="G101" s="34"/>
      <c r="H101" s="36" t="s">
        <v>347</v>
      </c>
      <c r="I101" s="12" t="s">
        <v>348</v>
      </c>
      <c r="J101" s="29" t="s">
        <v>46</v>
      </c>
      <c r="K101" s="29">
        <v>1</v>
      </c>
      <c r="L101" s="29"/>
      <c r="M101" s="25" t="s">
        <v>96</v>
      </c>
      <c r="N101" s="15" t="s">
        <v>29</v>
      </c>
      <c r="O101" s="30" t="s">
        <v>36</v>
      </c>
    </row>
    <row r="102" spans="1:15" ht="108">
      <c r="A102" s="6">
        <v>14</v>
      </c>
      <c r="B102" s="6" t="s">
        <v>266</v>
      </c>
      <c r="C102" s="6" t="s">
        <v>363</v>
      </c>
      <c r="D102" s="5" t="s">
        <v>364</v>
      </c>
      <c r="E102" s="35" t="s">
        <v>61</v>
      </c>
      <c r="F102" s="34" t="s">
        <v>29</v>
      </c>
      <c r="G102" s="34"/>
      <c r="H102" s="36" t="s">
        <v>347</v>
      </c>
      <c r="I102" s="12" t="s">
        <v>348</v>
      </c>
      <c r="J102" s="29" t="s">
        <v>46</v>
      </c>
      <c r="K102" s="29">
        <v>1</v>
      </c>
      <c r="L102" s="29"/>
      <c r="M102" s="25" t="s">
        <v>96</v>
      </c>
      <c r="N102" s="15" t="s">
        <v>29</v>
      </c>
      <c r="O102" s="30" t="s">
        <v>36</v>
      </c>
    </row>
    <row r="103" spans="1:15" ht="201">
      <c r="A103" s="6">
        <v>14</v>
      </c>
      <c r="B103" s="6" t="s">
        <v>266</v>
      </c>
      <c r="C103" s="6" t="s">
        <v>365</v>
      </c>
      <c r="D103" s="5" t="s">
        <v>366</v>
      </c>
      <c r="E103" s="35" t="s">
        <v>61</v>
      </c>
      <c r="F103" s="34" t="s">
        <v>29</v>
      </c>
      <c r="G103" s="34"/>
      <c r="H103" s="5" t="s">
        <v>367</v>
      </c>
      <c r="I103" s="12" t="s">
        <v>348</v>
      </c>
      <c r="J103" s="29" t="s">
        <v>46</v>
      </c>
      <c r="K103" s="29">
        <v>1</v>
      </c>
      <c r="L103" s="29"/>
      <c r="M103" s="25" t="s">
        <v>96</v>
      </c>
      <c r="N103" s="15" t="s">
        <v>29</v>
      </c>
      <c r="O103" s="30" t="s">
        <v>36</v>
      </c>
    </row>
    <row r="104" spans="1:15" ht="108.6">
      <c r="A104" s="6">
        <v>14</v>
      </c>
      <c r="B104" s="6" t="s">
        <v>266</v>
      </c>
      <c r="C104" s="6" t="s">
        <v>368</v>
      </c>
      <c r="D104" s="5" t="s">
        <v>369</v>
      </c>
      <c r="E104" s="35" t="s">
        <v>61</v>
      </c>
      <c r="F104" s="34" t="s">
        <v>29</v>
      </c>
      <c r="G104" s="34"/>
      <c r="H104" s="36" t="s">
        <v>347</v>
      </c>
      <c r="I104" s="12" t="s">
        <v>348</v>
      </c>
      <c r="J104" s="29" t="s">
        <v>46</v>
      </c>
      <c r="K104" s="29">
        <v>1</v>
      </c>
      <c r="L104" s="29"/>
      <c r="M104" s="25" t="s">
        <v>96</v>
      </c>
      <c r="N104" s="15" t="s">
        <v>29</v>
      </c>
      <c r="O104" s="30" t="s">
        <v>36</v>
      </c>
    </row>
    <row r="105" spans="1:15" ht="77.45">
      <c r="A105" s="6">
        <v>14</v>
      </c>
      <c r="B105" s="6" t="s">
        <v>266</v>
      </c>
      <c r="C105" s="6" t="s">
        <v>370</v>
      </c>
      <c r="D105" s="5" t="s">
        <v>371</v>
      </c>
      <c r="E105" s="35" t="s">
        <v>39</v>
      </c>
      <c r="F105" s="34" t="s">
        <v>29</v>
      </c>
      <c r="G105" s="34"/>
      <c r="H105" s="5" t="s">
        <v>372</v>
      </c>
      <c r="I105" s="12" t="s">
        <v>373</v>
      </c>
      <c r="J105" s="29" t="s">
        <v>33</v>
      </c>
      <c r="K105" s="29">
        <v>2</v>
      </c>
      <c r="L105" s="29"/>
      <c r="M105" s="25" t="s">
        <v>35</v>
      </c>
      <c r="N105" s="15" t="s">
        <v>29</v>
      </c>
      <c r="O105" s="30" t="s">
        <v>36</v>
      </c>
    </row>
    <row r="106" spans="1:15" ht="62.1">
      <c r="A106" s="6">
        <v>14</v>
      </c>
      <c r="B106" s="6" t="s">
        <v>266</v>
      </c>
      <c r="C106" s="6" t="s">
        <v>374</v>
      </c>
      <c r="D106" s="5" t="s">
        <v>375</v>
      </c>
      <c r="E106" s="35" t="s">
        <v>39</v>
      </c>
      <c r="F106" s="34" t="s">
        <v>29</v>
      </c>
      <c r="G106" s="34"/>
      <c r="H106" s="5" t="s">
        <v>376</v>
      </c>
      <c r="I106" s="12" t="s">
        <v>377</v>
      </c>
      <c r="J106" s="29" t="s">
        <v>33</v>
      </c>
      <c r="K106" s="29">
        <v>2</v>
      </c>
      <c r="L106" s="29"/>
      <c r="M106" s="25" t="s">
        <v>35</v>
      </c>
      <c r="N106" s="15" t="s">
        <v>29</v>
      </c>
      <c r="O106" s="30" t="s">
        <v>36</v>
      </c>
    </row>
    <row r="107" spans="1:15" ht="62.1">
      <c r="A107" s="6">
        <v>14</v>
      </c>
      <c r="B107" s="6" t="s">
        <v>266</v>
      </c>
      <c r="C107" s="6" t="s">
        <v>378</v>
      </c>
      <c r="D107" s="5" t="s">
        <v>379</v>
      </c>
      <c r="E107" s="5" t="s">
        <v>61</v>
      </c>
      <c r="F107" s="34" t="s">
        <v>29</v>
      </c>
      <c r="G107" s="34"/>
      <c r="H107" s="5" t="s">
        <v>380</v>
      </c>
      <c r="I107" s="12" t="s">
        <v>381</v>
      </c>
      <c r="J107" s="29" t="s">
        <v>46</v>
      </c>
      <c r="K107" s="29">
        <v>1</v>
      </c>
      <c r="L107" s="29"/>
      <c r="M107" s="25" t="s">
        <v>96</v>
      </c>
      <c r="N107" s="15" t="s">
        <v>29</v>
      </c>
      <c r="O107" s="30" t="s">
        <v>18</v>
      </c>
    </row>
    <row r="108" spans="1:15" ht="77.45">
      <c r="A108" s="6">
        <v>14</v>
      </c>
      <c r="B108" s="6" t="s">
        <v>266</v>
      </c>
      <c r="C108" s="6" t="s">
        <v>382</v>
      </c>
      <c r="D108" s="5" t="s">
        <v>383</v>
      </c>
      <c r="E108" s="35" t="s">
        <v>39</v>
      </c>
      <c r="F108" s="34" t="s">
        <v>29</v>
      </c>
      <c r="G108" s="34"/>
      <c r="H108" s="5" t="s">
        <v>384</v>
      </c>
      <c r="I108" s="12" t="s">
        <v>373</v>
      </c>
      <c r="J108" s="29" t="s">
        <v>33</v>
      </c>
      <c r="K108" s="29">
        <v>2</v>
      </c>
      <c r="L108" s="29"/>
      <c r="M108" s="25" t="s">
        <v>35</v>
      </c>
      <c r="N108" s="15" t="s">
        <v>29</v>
      </c>
      <c r="O108" s="30" t="s">
        <v>36</v>
      </c>
    </row>
    <row r="109" spans="1:15" ht="46.5">
      <c r="A109" s="6">
        <v>14</v>
      </c>
      <c r="B109" s="6" t="s">
        <v>266</v>
      </c>
      <c r="C109" s="6" t="s">
        <v>385</v>
      </c>
      <c r="D109" s="5" t="s">
        <v>386</v>
      </c>
      <c r="E109" s="5" t="s">
        <v>61</v>
      </c>
      <c r="F109" s="6" t="s">
        <v>116</v>
      </c>
      <c r="G109" s="6"/>
      <c r="H109" s="5" t="s">
        <v>387</v>
      </c>
      <c r="I109" s="12" t="s">
        <v>278</v>
      </c>
      <c r="J109" s="29"/>
      <c r="K109" s="29">
        <v>3</v>
      </c>
      <c r="L109" s="29"/>
      <c r="M109" s="25" t="s">
        <v>388</v>
      </c>
      <c r="N109" s="15" t="s">
        <v>29</v>
      </c>
      <c r="O109" s="30" t="s">
        <v>36</v>
      </c>
    </row>
    <row r="110" spans="1:15" ht="155.1">
      <c r="A110" s="6">
        <v>14</v>
      </c>
      <c r="B110" s="6" t="s">
        <v>266</v>
      </c>
      <c r="C110" s="6" t="s">
        <v>389</v>
      </c>
      <c r="D110" s="5" t="s">
        <v>390</v>
      </c>
      <c r="E110" s="35" t="s">
        <v>39</v>
      </c>
      <c r="F110" s="34" t="s">
        <v>29</v>
      </c>
      <c r="G110" s="34"/>
      <c r="H110" s="5" t="s">
        <v>391</v>
      </c>
      <c r="I110" s="12" t="s">
        <v>373</v>
      </c>
      <c r="J110" s="29" t="s">
        <v>33</v>
      </c>
      <c r="K110" s="29">
        <v>2</v>
      </c>
      <c r="L110" s="29"/>
      <c r="M110" s="25" t="s">
        <v>35</v>
      </c>
      <c r="N110" s="15" t="s">
        <v>29</v>
      </c>
      <c r="O110" s="30" t="s">
        <v>36</v>
      </c>
    </row>
    <row r="111" spans="1:15" ht="46.5">
      <c r="A111" s="6">
        <v>14</v>
      </c>
      <c r="B111" s="6" t="s">
        <v>266</v>
      </c>
      <c r="C111" s="6" t="s">
        <v>392</v>
      </c>
      <c r="D111" s="5" t="s">
        <v>393</v>
      </c>
      <c r="E111" s="5" t="s">
        <v>61</v>
      </c>
      <c r="F111" s="6" t="s">
        <v>29</v>
      </c>
      <c r="G111" s="6"/>
      <c r="H111" s="5" t="s">
        <v>56</v>
      </c>
      <c r="I111" s="12"/>
      <c r="J111" s="29" t="s">
        <v>46</v>
      </c>
      <c r="K111" s="29">
        <v>1</v>
      </c>
      <c r="L111" s="29"/>
      <c r="M111" s="25" t="s">
        <v>48</v>
      </c>
      <c r="N111" s="15" t="s">
        <v>29</v>
      </c>
      <c r="O111" s="30" t="s">
        <v>18</v>
      </c>
    </row>
    <row r="112" spans="1:15" ht="46.5">
      <c r="A112" s="6">
        <v>14</v>
      </c>
      <c r="B112" s="6" t="s">
        <v>266</v>
      </c>
      <c r="C112" s="6" t="s">
        <v>394</v>
      </c>
      <c r="D112" s="5" t="s">
        <v>395</v>
      </c>
      <c r="E112" s="5" t="s">
        <v>61</v>
      </c>
      <c r="F112" s="6" t="s">
        <v>29</v>
      </c>
      <c r="G112" s="6"/>
      <c r="H112" s="5" t="s">
        <v>56</v>
      </c>
      <c r="I112" s="12"/>
      <c r="J112" s="29" t="s">
        <v>46</v>
      </c>
      <c r="K112" s="29">
        <v>1</v>
      </c>
      <c r="L112" s="29"/>
      <c r="M112" s="25" t="s">
        <v>48</v>
      </c>
      <c r="N112" s="15" t="s">
        <v>29</v>
      </c>
      <c r="O112" s="30" t="s">
        <v>18</v>
      </c>
    </row>
    <row r="113" spans="1:15" ht="46.5">
      <c r="A113" s="6">
        <v>14</v>
      </c>
      <c r="B113" s="6" t="s">
        <v>266</v>
      </c>
      <c r="C113" s="6" t="s">
        <v>396</v>
      </c>
      <c r="D113" s="5" t="s">
        <v>397</v>
      </c>
      <c r="E113" s="5" t="s">
        <v>61</v>
      </c>
      <c r="F113" s="6" t="s">
        <v>29</v>
      </c>
      <c r="G113" s="6"/>
      <c r="H113" s="5" t="s">
        <v>56</v>
      </c>
      <c r="I113" s="12"/>
      <c r="J113" s="29" t="s">
        <v>46</v>
      </c>
      <c r="K113" s="29">
        <v>1</v>
      </c>
      <c r="L113" s="29"/>
      <c r="M113" s="25" t="s">
        <v>48</v>
      </c>
      <c r="N113" s="15" t="s">
        <v>29</v>
      </c>
      <c r="O113" s="30" t="s">
        <v>18</v>
      </c>
    </row>
    <row r="114" spans="1:15" ht="46.5">
      <c r="A114" s="6">
        <v>14</v>
      </c>
      <c r="B114" s="6" t="s">
        <v>266</v>
      </c>
      <c r="C114" s="6" t="s">
        <v>398</v>
      </c>
      <c r="D114" s="5" t="s">
        <v>399</v>
      </c>
      <c r="E114" s="5" t="s">
        <v>61</v>
      </c>
      <c r="F114" s="6" t="s">
        <v>29</v>
      </c>
      <c r="G114" s="6"/>
      <c r="H114" s="5" t="s">
        <v>56</v>
      </c>
      <c r="I114" s="12"/>
      <c r="J114" s="29" t="s">
        <v>46</v>
      </c>
      <c r="K114" s="29">
        <v>1</v>
      </c>
      <c r="L114" s="29"/>
      <c r="M114" s="25" t="s">
        <v>48</v>
      </c>
      <c r="N114" s="15" t="s">
        <v>29</v>
      </c>
      <c r="O114" s="30" t="s">
        <v>18</v>
      </c>
    </row>
    <row r="115" spans="1:15" ht="77.45">
      <c r="A115" s="6">
        <v>14</v>
      </c>
      <c r="B115" s="6" t="s">
        <v>266</v>
      </c>
      <c r="C115" s="6" t="s">
        <v>400</v>
      </c>
      <c r="D115" s="5" t="s">
        <v>401</v>
      </c>
      <c r="E115" s="35" t="s">
        <v>39</v>
      </c>
      <c r="F115" s="34" t="s">
        <v>29</v>
      </c>
      <c r="G115" s="34"/>
      <c r="H115" s="5" t="s">
        <v>402</v>
      </c>
      <c r="I115" s="12" t="s">
        <v>373</v>
      </c>
      <c r="J115" s="29" t="s">
        <v>33</v>
      </c>
      <c r="K115" s="29">
        <v>2</v>
      </c>
      <c r="L115" s="29"/>
      <c r="M115" s="25" t="s">
        <v>35</v>
      </c>
      <c r="N115" s="15" t="s">
        <v>29</v>
      </c>
      <c r="O115" s="30" t="s">
        <v>36</v>
      </c>
    </row>
    <row r="116" spans="1:15" ht="30.95">
      <c r="A116" s="6">
        <v>14</v>
      </c>
      <c r="B116" s="6" t="s">
        <v>266</v>
      </c>
      <c r="C116" s="6" t="s">
        <v>403</v>
      </c>
      <c r="D116" s="5" t="s">
        <v>404</v>
      </c>
      <c r="E116" s="5" t="s">
        <v>61</v>
      </c>
      <c r="F116" s="6" t="s">
        <v>29</v>
      </c>
      <c r="G116" s="6"/>
      <c r="H116" s="5" t="s">
        <v>56</v>
      </c>
      <c r="I116" s="12"/>
      <c r="J116" s="29" t="s">
        <v>46</v>
      </c>
      <c r="K116" s="29">
        <v>1</v>
      </c>
      <c r="L116" s="29"/>
      <c r="M116" s="25" t="s">
        <v>48</v>
      </c>
      <c r="N116" s="15" t="s">
        <v>29</v>
      </c>
      <c r="O116" s="30" t="s">
        <v>18</v>
      </c>
    </row>
    <row r="117" spans="1:15" ht="62.1">
      <c r="A117" s="6">
        <v>15</v>
      </c>
      <c r="B117" s="6" t="s">
        <v>266</v>
      </c>
      <c r="C117" s="6" t="s">
        <v>405</v>
      </c>
      <c r="D117" s="5" t="s">
        <v>406</v>
      </c>
      <c r="E117" s="5" t="s">
        <v>61</v>
      </c>
      <c r="F117" s="6" t="s">
        <v>29</v>
      </c>
      <c r="G117" s="6"/>
      <c r="H117" s="5" t="s">
        <v>56</v>
      </c>
      <c r="I117" s="12"/>
      <c r="J117" s="29" t="s">
        <v>46</v>
      </c>
      <c r="K117" s="29">
        <v>1</v>
      </c>
      <c r="L117" s="29"/>
      <c r="M117" s="25" t="s">
        <v>48</v>
      </c>
      <c r="N117" s="15" t="s">
        <v>29</v>
      </c>
      <c r="O117" s="30" t="s">
        <v>18</v>
      </c>
    </row>
    <row r="118" spans="1:15" ht="30.95">
      <c r="A118" s="6">
        <v>15</v>
      </c>
      <c r="B118" s="6" t="s">
        <v>266</v>
      </c>
      <c r="C118" s="6" t="s">
        <v>407</v>
      </c>
      <c r="D118" s="5" t="s">
        <v>408</v>
      </c>
      <c r="E118" s="5" t="s">
        <v>61</v>
      </c>
      <c r="F118" s="6" t="s">
        <v>29</v>
      </c>
      <c r="G118" s="6"/>
      <c r="H118" s="5" t="s">
        <v>56</v>
      </c>
      <c r="I118" s="12"/>
      <c r="J118" s="29" t="s">
        <v>46</v>
      </c>
      <c r="K118" s="29">
        <v>1</v>
      </c>
      <c r="L118" s="29"/>
      <c r="M118" s="25" t="s">
        <v>48</v>
      </c>
      <c r="N118" s="15" t="s">
        <v>29</v>
      </c>
      <c r="O118" s="30" t="s">
        <v>18</v>
      </c>
    </row>
    <row r="119" spans="1:15" ht="30.95">
      <c r="A119" s="6">
        <v>15</v>
      </c>
      <c r="B119" s="6" t="s">
        <v>266</v>
      </c>
      <c r="C119" s="6" t="s">
        <v>409</v>
      </c>
      <c r="D119" s="5" t="s">
        <v>410</v>
      </c>
      <c r="E119" s="5" t="s">
        <v>61</v>
      </c>
      <c r="F119" s="6" t="s">
        <v>29</v>
      </c>
      <c r="G119" s="6"/>
      <c r="H119" s="5" t="s">
        <v>56</v>
      </c>
      <c r="I119" s="12"/>
      <c r="J119" s="29" t="s">
        <v>46</v>
      </c>
      <c r="K119" s="29">
        <v>1</v>
      </c>
      <c r="L119" s="29"/>
      <c r="M119" s="25" t="s">
        <v>48</v>
      </c>
      <c r="N119" s="15" t="s">
        <v>29</v>
      </c>
      <c r="O119" s="30" t="s">
        <v>18</v>
      </c>
    </row>
    <row r="120" spans="1:15" ht="30.95">
      <c r="A120" s="6">
        <v>15</v>
      </c>
      <c r="B120" s="6" t="s">
        <v>266</v>
      </c>
      <c r="C120" s="6" t="s">
        <v>411</v>
      </c>
      <c r="D120" s="5" t="s">
        <v>412</v>
      </c>
      <c r="E120" s="5" t="s">
        <v>61</v>
      </c>
      <c r="F120" s="6" t="s">
        <v>29</v>
      </c>
      <c r="G120" s="6"/>
      <c r="H120" s="5" t="s">
        <v>56</v>
      </c>
      <c r="I120" s="12"/>
      <c r="J120" s="29" t="s">
        <v>46</v>
      </c>
      <c r="K120" s="29">
        <v>1</v>
      </c>
      <c r="L120" s="29"/>
      <c r="M120" s="25" t="s">
        <v>48</v>
      </c>
      <c r="N120" s="15" t="s">
        <v>29</v>
      </c>
      <c r="O120" s="30" t="s">
        <v>18</v>
      </c>
    </row>
    <row r="121" spans="1:15" ht="30.95">
      <c r="A121" s="6">
        <v>15</v>
      </c>
      <c r="B121" s="6" t="s">
        <v>266</v>
      </c>
      <c r="C121" s="6" t="s">
        <v>413</v>
      </c>
      <c r="D121" s="5" t="s">
        <v>414</v>
      </c>
      <c r="E121" s="5" t="s">
        <v>61</v>
      </c>
      <c r="F121" s="6" t="s">
        <v>29</v>
      </c>
      <c r="G121" s="6"/>
      <c r="H121" s="5" t="s">
        <v>56</v>
      </c>
      <c r="I121" s="12"/>
      <c r="J121" s="29" t="s">
        <v>46</v>
      </c>
      <c r="K121" s="29">
        <v>1</v>
      </c>
      <c r="L121" s="29"/>
      <c r="M121" s="25" t="s">
        <v>48</v>
      </c>
      <c r="N121" s="15" t="s">
        <v>29</v>
      </c>
      <c r="O121" s="30" t="s">
        <v>18</v>
      </c>
    </row>
    <row r="122" spans="1:15" ht="77.45">
      <c r="A122" s="6">
        <v>15</v>
      </c>
      <c r="B122" s="6" t="s">
        <v>266</v>
      </c>
      <c r="C122" s="6" t="s">
        <v>415</v>
      </c>
      <c r="D122" s="5" t="s">
        <v>416</v>
      </c>
      <c r="E122" s="35" t="s">
        <v>39</v>
      </c>
      <c r="F122" s="34" t="s">
        <v>29</v>
      </c>
      <c r="G122" s="34"/>
      <c r="H122" s="5" t="s">
        <v>417</v>
      </c>
      <c r="I122" s="12" t="s">
        <v>373</v>
      </c>
      <c r="J122" s="29" t="s">
        <v>33</v>
      </c>
      <c r="K122" s="29">
        <v>2</v>
      </c>
      <c r="L122" s="29"/>
      <c r="M122" s="25" t="s">
        <v>35</v>
      </c>
      <c r="N122" s="15" t="s">
        <v>29</v>
      </c>
      <c r="O122" s="30" t="s">
        <v>36</v>
      </c>
    </row>
    <row r="123" spans="1:15" ht="77.45">
      <c r="A123" s="6">
        <v>15</v>
      </c>
      <c r="B123" s="6" t="s">
        <v>266</v>
      </c>
      <c r="C123" s="6" t="s">
        <v>418</v>
      </c>
      <c r="D123" s="5" t="s">
        <v>419</v>
      </c>
      <c r="E123" s="35" t="s">
        <v>39</v>
      </c>
      <c r="F123" s="34" t="s">
        <v>29</v>
      </c>
      <c r="G123" s="34"/>
      <c r="H123" s="5" t="s">
        <v>420</v>
      </c>
      <c r="I123" s="12" t="s">
        <v>373</v>
      </c>
      <c r="J123" s="29" t="s">
        <v>33</v>
      </c>
      <c r="K123" s="29">
        <v>2</v>
      </c>
      <c r="L123" s="29"/>
      <c r="M123" s="25" t="s">
        <v>35</v>
      </c>
      <c r="N123" s="15" t="s">
        <v>29</v>
      </c>
      <c r="O123" s="30" t="s">
        <v>36</v>
      </c>
    </row>
    <row r="124" spans="1:15" ht="62.1">
      <c r="A124" s="6">
        <v>15</v>
      </c>
      <c r="B124" s="6" t="s">
        <v>266</v>
      </c>
      <c r="C124" s="6" t="s">
        <v>421</v>
      </c>
      <c r="D124" s="5" t="s">
        <v>422</v>
      </c>
      <c r="E124" s="5" t="s">
        <v>61</v>
      </c>
      <c r="F124" s="6" t="s">
        <v>29</v>
      </c>
      <c r="G124" s="6"/>
      <c r="H124" s="5" t="s">
        <v>56</v>
      </c>
      <c r="I124" s="12"/>
      <c r="J124" s="29" t="s">
        <v>46</v>
      </c>
      <c r="K124" s="29">
        <v>1</v>
      </c>
      <c r="L124" s="29"/>
      <c r="M124" s="25" t="s">
        <v>48</v>
      </c>
      <c r="N124" s="15" t="s">
        <v>29</v>
      </c>
      <c r="O124" s="30" t="s">
        <v>18</v>
      </c>
    </row>
    <row r="125" spans="1:15" ht="139.5">
      <c r="A125" s="6">
        <v>15</v>
      </c>
      <c r="B125" s="6" t="s">
        <v>266</v>
      </c>
      <c r="C125" s="6" t="s">
        <v>423</v>
      </c>
      <c r="D125" s="5" t="s">
        <v>424</v>
      </c>
      <c r="E125" s="5" t="s">
        <v>425</v>
      </c>
      <c r="F125" s="6" t="s">
        <v>116</v>
      </c>
      <c r="G125" s="6"/>
      <c r="H125" s="5" t="s">
        <v>426</v>
      </c>
      <c r="I125" s="12" t="s">
        <v>45</v>
      </c>
      <c r="J125" s="29" t="s">
        <v>33</v>
      </c>
      <c r="K125" s="29">
        <v>1</v>
      </c>
      <c r="L125" s="29"/>
      <c r="M125" s="25" t="s">
        <v>427</v>
      </c>
      <c r="N125" s="15" t="s">
        <v>29</v>
      </c>
      <c r="O125" s="30" t="s">
        <v>18</v>
      </c>
    </row>
    <row r="126" spans="1:15" ht="128.44999999999999" customHeight="1">
      <c r="A126" s="6">
        <v>15</v>
      </c>
      <c r="B126" s="6" t="s">
        <v>266</v>
      </c>
      <c r="C126" s="6" t="s">
        <v>428</v>
      </c>
      <c r="D126" s="5" t="s">
        <v>429</v>
      </c>
      <c r="E126" s="5" t="s">
        <v>20</v>
      </c>
      <c r="F126" s="6" t="s">
        <v>116</v>
      </c>
      <c r="G126" s="6"/>
      <c r="H126" s="5" t="s">
        <v>430</v>
      </c>
      <c r="I126" s="12" t="s">
        <v>45</v>
      </c>
      <c r="J126" s="29" t="s">
        <v>33</v>
      </c>
      <c r="K126" s="29">
        <v>1</v>
      </c>
      <c r="L126" s="29"/>
      <c r="M126" s="25" t="s">
        <v>431</v>
      </c>
      <c r="N126" s="15" t="s">
        <v>29</v>
      </c>
      <c r="O126" s="30" t="s">
        <v>18</v>
      </c>
    </row>
    <row r="127" spans="1:15" ht="180.6" customHeight="1">
      <c r="A127" s="6">
        <v>16</v>
      </c>
      <c r="B127" s="6" t="s">
        <v>266</v>
      </c>
      <c r="C127" s="6" t="s">
        <v>432</v>
      </c>
      <c r="D127" s="5" t="s">
        <v>433</v>
      </c>
      <c r="E127" s="5" t="s">
        <v>20</v>
      </c>
      <c r="F127" s="6" t="s">
        <v>116</v>
      </c>
      <c r="G127" s="6"/>
      <c r="H127" s="5" t="s">
        <v>434</v>
      </c>
      <c r="I127" s="12" t="s">
        <v>45</v>
      </c>
      <c r="J127" s="29" t="s">
        <v>33</v>
      </c>
      <c r="K127" s="29">
        <v>1</v>
      </c>
      <c r="L127" s="29"/>
      <c r="M127" s="25" t="s">
        <v>431</v>
      </c>
      <c r="N127" s="15" t="s">
        <v>29</v>
      </c>
      <c r="O127" s="30" t="s">
        <v>18</v>
      </c>
    </row>
    <row r="128" spans="1:15" ht="112.5" customHeight="1">
      <c r="A128" s="6">
        <v>16</v>
      </c>
      <c r="B128" s="6" t="s">
        <v>266</v>
      </c>
      <c r="C128" s="6" t="s">
        <v>435</v>
      </c>
      <c r="D128" s="5" t="s">
        <v>436</v>
      </c>
      <c r="E128" s="5" t="s">
        <v>425</v>
      </c>
      <c r="F128" s="6" t="s">
        <v>258</v>
      </c>
      <c r="G128" s="6"/>
      <c r="H128" s="5" t="s">
        <v>437</v>
      </c>
      <c r="I128" s="12" t="s">
        <v>45</v>
      </c>
      <c r="J128" s="29" t="s">
        <v>33</v>
      </c>
      <c r="K128" s="29">
        <v>1</v>
      </c>
      <c r="L128" s="29"/>
      <c r="M128" s="25" t="s">
        <v>438</v>
      </c>
      <c r="N128" s="15" t="s">
        <v>29</v>
      </c>
      <c r="O128" s="30" t="s">
        <v>18</v>
      </c>
    </row>
    <row r="129" spans="1:15" ht="46.5">
      <c r="A129" s="6">
        <v>16</v>
      </c>
      <c r="B129" s="6" t="s">
        <v>266</v>
      </c>
      <c r="C129" s="6" t="s">
        <v>439</v>
      </c>
      <c r="D129" s="5" t="s">
        <v>440</v>
      </c>
      <c r="E129" s="35" t="s">
        <v>39</v>
      </c>
      <c r="F129" s="34" t="s">
        <v>29</v>
      </c>
      <c r="G129" s="34"/>
      <c r="H129" s="5" t="s">
        <v>441</v>
      </c>
      <c r="I129" s="12" t="s">
        <v>32</v>
      </c>
      <c r="J129" s="29" t="s">
        <v>33</v>
      </c>
      <c r="K129" s="29">
        <v>2</v>
      </c>
      <c r="L129" s="29"/>
      <c r="M129" s="25" t="s">
        <v>35</v>
      </c>
      <c r="N129" s="15" t="s">
        <v>29</v>
      </c>
      <c r="O129" s="30" t="s">
        <v>36</v>
      </c>
    </row>
    <row r="130" spans="1:15" ht="93">
      <c r="A130" s="6">
        <v>16</v>
      </c>
      <c r="B130" s="6" t="s">
        <v>266</v>
      </c>
      <c r="C130" s="6" t="s">
        <v>442</v>
      </c>
      <c r="D130" s="5" t="s">
        <v>443</v>
      </c>
      <c r="E130" s="5" t="s">
        <v>39</v>
      </c>
      <c r="F130" s="6" t="s">
        <v>29</v>
      </c>
      <c r="G130" s="6"/>
      <c r="H130" s="5" t="s">
        <v>444</v>
      </c>
      <c r="I130" s="12"/>
      <c r="J130" s="29" t="s">
        <v>33</v>
      </c>
      <c r="K130" s="29">
        <v>1</v>
      </c>
      <c r="L130" s="29"/>
      <c r="M130" s="25" t="s">
        <v>101</v>
      </c>
      <c r="N130" s="15" t="s">
        <v>29</v>
      </c>
      <c r="O130" s="30" t="s">
        <v>18</v>
      </c>
    </row>
    <row r="131" spans="1:15" ht="46.5">
      <c r="A131" s="6">
        <v>16</v>
      </c>
      <c r="B131" s="6" t="s">
        <v>266</v>
      </c>
      <c r="C131" s="6" t="s">
        <v>445</v>
      </c>
      <c r="D131" s="5" t="s">
        <v>446</v>
      </c>
      <c r="E131" s="5" t="s">
        <v>61</v>
      </c>
      <c r="F131" s="6" t="s">
        <v>29</v>
      </c>
      <c r="G131" s="6"/>
      <c r="H131" s="5" t="s">
        <v>447</v>
      </c>
      <c r="I131" s="12"/>
      <c r="J131" s="29" t="s">
        <v>46</v>
      </c>
      <c r="K131" s="29">
        <v>1</v>
      </c>
      <c r="L131" s="29"/>
      <c r="M131" s="25" t="s">
        <v>322</v>
      </c>
      <c r="N131" s="15" t="s">
        <v>29</v>
      </c>
      <c r="O131" s="30" t="s">
        <v>18</v>
      </c>
    </row>
    <row r="132" spans="1:15" ht="62.1">
      <c r="A132" s="6">
        <v>16</v>
      </c>
      <c r="B132" s="6" t="s">
        <v>266</v>
      </c>
      <c r="C132" s="6" t="s">
        <v>448</v>
      </c>
      <c r="D132" s="5" t="s">
        <v>449</v>
      </c>
      <c r="E132" s="5" t="s">
        <v>61</v>
      </c>
      <c r="F132" s="6" t="s">
        <v>29</v>
      </c>
      <c r="G132" s="6"/>
      <c r="H132" s="5"/>
      <c r="I132" s="12"/>
      <c r="J132" s="29" t="s">
        <v>46</v>
      </c>
      <c r="K132" s="29">
        <v>1</v>
      </c>
      <c r="L132" s="29"/>
      <c r="M132" s="25" t="s">
        <v>322</v>
      </c>
      <c r="N132" s="15" t="s">
        <v>29</v>
      </c>
      <c r="O132" s="30" t="s">
        <v>18</v>
      </c>
    </row>
    <row r="133" spans="1:15" ht="46.5">
      <c r="A133" s="6">
        <v>16</v>
      </c>
      <c r="B133" s="6" t="s">
        <v>266</v>
      </c>
      <c r="C133" s="6" t="s">
        <v>450</v>
      </c>
      <c r="D133" s="5" t="s">
        <v>451</v>
      </c>
      <c r="E133" s="5" t="s">
        <v>39</v>
      </c>
      <c r="F133" s="6" t="s">
        <v>29</v>
      </c>
      <c r="G133" s="6"/>
      <c r="H133" s="5" t="s">
        <v>452</v>
      </c>
      <c r="I133" s="12"/>
      <c r="J133" s="29" t="s">
        <v>33</v>
      </c>
      <c r="K133" s="29">
        <v>1</v>
      </c>
      <c r="L133" s="29"/>
      <c r="M133" s="25" t="s">
        <v>453</v>
      </c>
      <c r="N133" s="15" t="s">
        <v>29</v>
      </c>
      <c r="O133" s="30" t="s">
        <v>36</v>
      </c>
    </row>
    <row r="134" spans="1:15" ht="30.95">
      <c r="A134" s="6">
        <v>16</v>
      </c>
      <c r="B134" s="6" t="s">
        <v>454</v>
      </c>
      <c r="C134" s="6" t="s">
        <v>455</v>
      </c>
      <c r="D134" s="5" t="s">
        <v>456</v>
      </c>
      <c r="E134" s="5" t="s">
        <v>39</v>
      </c>
      <c r="F134" s="6" t="s">
        <v>29</v>
      </c>
      <c r="G134" s="6"/>
      <c r="H134" s="5" t="s">
        <v>444</v>
      </c>
      <c r="I134" s="12"/>
      <c r="J134" s="29" t="s">
        <v>33</v>
      </c>
      <c r="K134" s="29">
        <v>1</v>
      </c>
      <c r="L134" s="29"/>
      <c r="M134" s="25" t="s">
        <v>101</v>
      </c>
      <c r="N134" s="15" t="s">
        <v>29</v>
      </c>
      <c r="O134" s="30" t="s">
        <v>36</v>
      </c>
    </row>
    <row r="135" spans="1:15" ht="62.1">
      <c r="A135" s="6">
        <v>16</v>
      </c>
      <c r="B135" s="6" t="s">
        <v>454</v>
      </c>
      <c r="C135" s="6" t="s">
        <v>457</v>
      </c>
      <c r="D135" s="5" t="s">
        <v>458</v>
      </c>
      <c r="E135" s="5" t="s">
        <v>39</v>
      </c>
      <c r="F135" s="6" t="s">
        <v>29</v>
      </c>
      <c r="G135" s="6"/>
      <c r="H135" s="5" t="s">
        <v>444</v>
      </c>
      <c r="I135" s="12"/>
      <c r="J135" s="29" t="s">
        <v>33</v>
      </c>
      <c r="K135" s="29">
        <v>1</v>
      </c>
      <c r="L135" s="29"/>
      <c r="M135" s="25" t="s">
        <v>101</v>
      </c>
      <c r="N135" s="15" t="s">
        <v>29</v>
      </c>
      <c r="O135" s="30" t="s">
        <v>36</v>
      </c>
    </row>
    <row r="136" spans="1:15" ht="62.1">
      <c r="A136" s="6">
        <v>16</v>
      </c>
      <c r="B136" s="6" t="s">
        <v>454</v>
      </c>
      <c r="C136" s="6" t="s">
        <v>459</v>
      </c>
      <c r="D136" s="5" t="s">
        <v>460</v>
      </c>
      <c r="E136" s="5" t="s">
        <v>39</v>
      </c>
      <c r="F136" s="6" t="s">
        <v>29</v>
      </c>
      <c r="G136" s="6"/>
      <c r="H136" s="5" t="s">
        <v>444</v>
      </c>
      <c r="I136" s="12"/>
      <c r="J136" s="29" t="s">
        <v>33</v>
      </c>
      <c r="K136" s="29">
        <v>1</v>
      </c>
      <c r="L136" s="29"/>
      <c r="M136" s="25" t="s">
        <v>101</v>
      </c>
      <c r="N136" s="15" t="s">
        <v>29</v>
      </c>
      <c r="O136" s="30" t="s">
        <v>36</v>
      </c>
    </row>
    <row r="137" spans="1:15" ht="30.95">
      <c r="A137" s="6">
        <v>16</v>
      </c>
      <c r="B137" s="6" t="s">
        <v>454</v>
      </c>
      <c r="C137" s="6" t="s">
        <v>461</v>
      </c>
      <c r="D137" s="5" t="s">
        <v>462</v>
      </c>
      <c r="E137" s="5" t="s">
        <v>39</v>
      </c>
      <c r="F137" s="6" t="s">
        <v>29</v>
      </c>
      <c r="G137" s="6"/>
      <c r="H137" s="5" t="s">
        <v>444</v>
      </c>
      <c r="I137" s="12"/>
      <c r="J137" s="29" t="s">
        <v>33</v>
      </c>
      <c r="K137" s="29">
        <v>1</v>
      </c>
      <c r="L137" s="29"/>
      <c r="M137" s="25" t="s">
        <v>101</v>
      </c>
      <c r="N137" s="15" t="s">
        <v>29</v>
      </c>
      <c r="O137" s="30" t="s">
        <v>36</v>
      </c>
    </row>
    <row r="138" spans="1:15" ht="30.95">
      <c r="A138" s="6">
        <v>16</v>
      </c>
      <c r="B138" s="6" t="s">
        <v>454</v>
      </c>
      <c r="C138" s="6" t="s">
        <v>463</v>
      </c>
      <c r="D138" s="5" t="s">
        <v>464</v>
      </c>
      <c r="E138" s="5" t="s">
        <v>39</v>
      </c>
      <c r="F138" s="6" t="s">
        <v>29</v>
      </c>
      <c r="G138" s="6"/>
      <c r="H138" s="5" t="s">
        <v>465</v>
      </c>
      <c r="I138" s="12"/>
      <c r="J138" s="29" t="s">
        <v>33</v>
      </c>
      <c r="K138" s="29">
        <v>1</v>
      </c>
      <c r="L138" s="29"/>
      <c r="M138" s="25" t="s">
        <v>101</v>
      </c>
      <c r="N138" s="15" t="s">
        <v>29</v>
      </c>
      <c r="O138" s="30" t="s">
        <v>36</v>
      </c>
    </row>
    <row r="139" spans="1:15" ht="30.95">
      <c r="A139" s="6">
        <v>16</v>
      </c>
      <c r="B139" s="6" t="s">
        <v>454</v>
      </c>
      <c r="C139" s="6" t="s">
        <v>466</v>
      </c>
      <c r="D139" s="5" t="s">
        <v>467</v>
      </c>
      <c r="E139" s="5" t="s">
        <v>39</v>
      </c>
      <c r="F139" s="6" t="s">
        <v>29</v>
      </c>
      <c r="G139" s="6"/>
      <c r="H139" s="5" t="s">
        <v>468</v>
      </c>
      <c r="I139" s="12"/>
      <c r="J139" s="29" t="s">
        <v>33</v>
      </c>
      <c r="K139" s="29">
        <v>1</v>
      </c>
      <c r="L139" s="29"/>
      <c r="M139" s="25" t="s">
        <v>469</v>
      </c>
      <c r="N139" s="15" t="s">
        <v>29</v>
      </c>
      <c r="O139" s="30" t="s">
        <v>36</v>
      </c>
    </row>
    <row r="140" spans="1:15" ht="46.5">
      <c r="A140" s="6">
        <v>16</v>
      </c>
      <c r="B140" s="6" t="s">
        <v>454</v>
      </c>
      <c r="C140" s="6" t="s">
        <v>470</v>
      </c>
      <c r="D140" s="5" t="s">
        <v>471</v>
      </c>
      <c r="E140" s="5" t="s">
        <v>39</v>
      </c>
      <c r="F140" s="6" t="s">
        <v>29</v>
      </c>
      <c r="G140" s="6"/>
      <c r="H140" s="5" t="s">
        <v>472</v>
      </c>
      <c r="I140" s="12"/>
      <c r="J140" s="29" t="s">
        <v>33</v>
      </c>
      <c r="K140" s="29">
        <v>1</v>
      </c>
      <c r="L140" s="29"/>
      <c r="M140" s="25" t="s">
        <v>469</v>
      </c>
      <c r="N140" s="15" t="s">
        <v>29</v>
      </c>
      <c r="O140" s="30" t="s">
        <v>36</v>
      </c>
    </row>
    <row r="141" spans="1:15" ht="62.1">
      <c r="A141" s="6">
        <v>16</v>
      </c>
      <c r="B141" s="6" t="s">
        <v>454</v>
      </c>
      <c r="C141" s="6" t="s">
        <v>473</v>
      </c>
      <c r="D141" s="5" t="s">
        <v>474</v>
      </c>
      <c r="E141" s="5" t="s">
        <v>39</v>
      </c>
      <c r="F141" s="6" t="s">
        <v>29</v>
      </c>
      <c r="G141" s="6"/>
      <c r="H141" s="5" t="s">
        <v>444</v>
      </c>
      <c r="I141" s="12"/>
      <c r="J141" s="29" t="s">
        <v>33</v>
      </c>
      <c r="K141" s="29">
        <v>1</v>
      </c>
      <c r="L141" s="29"/>
      <c r="M141" s="25" t="s">
        <v>469</v>
      </c>
      <c r="N141" s="15" t="s">
        <v>29</v>
      </c>
      <c r="O141" s="30" t="s">
        <v>36</v>
      </c>
    </row>
    <row r="142" spans="1:15" ht="46.5">
      <c r="A142" s="6">
        <v>16</v>
      </c>
      <c r="B142" s="6" t="s">
        <v>454</v>
      </c>
      <c r="C142" s="6" t="s">
        <v>475</v>
      </c>
      <c r="D142" s="5" t="s">
        <v>476</v>
      </c>
      <c r="E142" s="5" t="s">
        <v>39</v>
      </c>
      <c r="F142" s="6" t="s">
        <v>29</v>
      </c>
      <c r="G142" s="6"/>
      <c r="H142" s="5" t="s">
        <v>444</v>
      </c>
      <c r="I142" s="12"/>
      <c r="J142" s="29" t="s">
        <v>33</v>
      </c>
      <c r="K142" s="29">
        <v>1</v>
      </c>
      <c r="L142" s="29"/>
      <c r="M142" s="25" t="s">
        <v>469</v>
      </c>
      <c r="N142" s="15" t="s">
        <v>29</v>
      </c>
      <c r="O142" s="30" t="s">
        <v>36</v>
      </c>
    </row>
    <row r="143" spans="1:15" ht="46.5">
      <c r="A143" s="6">
        <v>17</v>
      </c>
      <c r="B143" s="6" t="s">
        <v>454</v>
      </c>
      <c r="C143" s="6" t="s">
        <v>477</v>
      </c>
      <c r="D143" s="5" t="s">
        <v>478</v>
      </c>
      <c r="E143" s="5" t="s">
        <v>39</v>
      </c>
      <c r="F143" s="6" t="s">
        <v>29</v>
      </c>
      <c r="G143" s="6"/>
      <c r="H143" s="5" t="s">
        <v>479</v>
      </c>
      <c r="I143" s="12"/>
      <c r="J143" s="29" t="s">
        <v>33</v>
      </c>
      <c r="K143" s="29">
        <v>1</v>
      </c>
      <c r="L143" s="29"/>
      <c r="M143" s="25" t="s">
        <v>469</v>
      </c>
      <c r="N143" s="15" t="s">
        <v>29</v>
      </c>
      <c r="O143" s="30" t="s">
        <v>36</v>
      </c>
    </row>
    <row r="144" spans="1:15" ht="46.5">
      <c r="A144" s="6">
        <v>17</v>
      </c>
      <c r="B144" s="6" t="s">
        <v>454</v>
      </c>
      <c r="C144" s="6" t="s">
        <v>480</v>
      </c>
      <c r="D144" s="5" t="s">
        <v>481</v>
      </c>
      <c r="E144" s="5" t="s">
        <v>39</v>
      </c>
      <c r="F144" s="6" t="s">
        <v>29</v>
      </c>
      <c r="G144" s="6"/>
      <c r="H144" s="5" t="s">
        <v>444</v>
      </c>
      <c r="I144" s="12"/>
      <c r="J144" s="29" t="s">
        <v>33</v>
      </c>
      <c r="K144" s="29">
        <v>1</v>
      </c>
      <c r="L144" s="29"/>
      <c r="M144" s="25" t="s">
        <v>469</v>
      </c>
      <c r="N144" s="15" t="s">
        <v>29</v>
      </c>
      <c r="O144" s="30" t="s">
        <v>36</v>
      </c>
    </row>
    <row r="145" spans="1:15" ht="30.95">
      <c r="A145" s="6">
        <v>17</v>
      </c>
      <c r="B145" s="6" t="s">
        <v>454</v>
      </c>
      <c r="C145" s="6" t="s">
        <v>482</v>
      </c>
      <c r="D145" s="5" t="s">
        <v>483</v>
      </c>
      <c r="E145" s="5" t="s">
        <v>39</v>
      </c>
      <c r="F145" s="6" t="s">
        <v>29</v>
      </c>
      <c r="G145" s="6"/>
      <c r="H145" s="5" t="s">
        <v>484</v>
      </c>
      <c r="I145" s="12"/>
      <c r="J145" s="29" t="s">
        <v>33</v>
      </c>
      <c r="K145" s="29">
        <v>1</v>
      </c>
      <c r="L145" s="29"/>
      <c r="M145" s="25" t="s">
        <v>469</v>
      </c>
      <c r="N145" s="15" t="s">
        <v>29</v>
      </c>
      <c r="O145" s="30" t="s">
        <v>36</v>
      </c>
    </row>
    <row r="146" spans="1:15" ht="46.5">
      <c r="A146" s="6">
        <v>17</v>
      </c>
      <c r="B146" s="6" t="s">
        <v>454</v>
      </c>
      <c r="C146" s="6" t="s">
        <v>485</v>
      </c>
      <c r="D146" s="5" t="s">
        <v>486</v>
      </c>
      <c r="E146" s="5" t="s">
        <v>39</v>
      </c>
      <c r="F146" s="6" t="s">
        <v>29</v>
      </c>
      <c r="G146" s="6"/>
      <c r="H146" s="5" t="s">
        <v>487</v>
      </c>
      <c r="I146" s="12"/>
      <c r="J146" s="29" t="s">
        <v>33</v>
      </c>
      <c r="K146" s="29">
        <v>1</v>
      </c>
      <c r="L146" s="29"/>
      <c r="M146" s="25" t="s">
        <v>469</v>
      </c>
      <c r="N146" s="15" t="s">
        <v>29</v>
      </c>
      <c r="O146" s="30" t="s">
        <v>36</v>
      </c>
    </row>
    <row r="147" spans="1:15" ht="62.1">
      <c r="A147" s="6">
        <v>17</v>
      </c>
      <c r="B147" s="6" t="s">
        <v>488</v>
      </c>
      <c r="C147" s="6" t="s">
        <v>178</v>
      </c>
      <c r="D147" s="5" t="s">
        <v>489</v>
      </c>
      <c r="E147" s="5" t="s">
        <v>39</v>
      </c>
      <c r="F147" s="6" t="s">
        <v>29</v>
      </c>
      <c r="G147" s="6"/>
      <c r="H147" s="5" t="s">
        <v>490</v>
      </c>
      <c r="I147" s="12"/>
      <c r="J147" s="29" t="s">
        <v>33</v>
      </c>
      <c r="K147" s="29">
        <v>1</v>
      </c>
      <c r="L147" s="29"/>
      <c r="M147" s="25" t="s">
        <v>101</v>
      </c>
      <c r="N147" s="15" t="s">
        <v>29</v>
      </c>
      <c r="O147" s="30" t="s">
        <v>18</v>
      </c>
    </row>
    <row r="148" spans="1:15" ht="93">
      <c r="A148" s="6">
        <v>17</v>
      </c>
      <c r="B148" s="6" t="s">
        <v>488</v>
      </c>
      <c r="C148" s="6" t="s">
        <v>189</v>
      </c>
      <c r="D148" s="5" t="s">
        <v>491</v>
      </c>
      <c r="E148" s="5" t="s">
        <v>61</v>
      </c>
      <c r="F148" s="6" t="s">
        <v>29</v>
      </c>
      <c r="G148" s="6"/>
      <c r="H148" s="5" t="s">
        <v>56</v>
      </c>
      <c r="I148" s="12"/>
      <c r="J148" s="29" t="s">
        <v>46</v>
      </c>
      <c r="K148" s="29">
        <v>1</v>
      </c>
      <c r="L148" s="29"/>
      <c r="M148" s="25" t="s">
        <v>48</v>
      </c>
      <c r="N148" s="15" t="s">
        <v>29</v>
      </c>
      <c r="O148" s="30" t="s">
        <v>18</v>
      </c>
    </row>
    <row r="149" spans="1:15" ht="46.5">
      <c r="A149" s="17">
        <v>17</v>
      </c>
      <c r="B149" s="17" t="s">
        <v>488</v>
      </c>
      <c r="C149" s="17" t="s">
        <v>492</v>
      </c>
      <c r="D149" s="43" t="s">
        <v>493</v>
      </c>
      <c r="E149" s="43" t="s">
        <v>61</v>
      </c>
      <c r="F149" s="17" t="s">
        <v>29</v>
      </c>
      <c r="G149" s="17"/>
      <c r="H149" s="43" t="s">
        <v>494</v>
      </c>
      <c r="I149" s="19"/>
      <c r="J149" s="44" t="s">
        <v>46</v>
      </c>
      <c r="K149" s="44">
        <v>1</v>
      </c>
      <c r="L149" s="44"/>
      <c r="M149" s="45" t="s">
        <v>48</v>
      </c>
      <c r="N149" s="15" t="s">
        <v>29</v>
      </c>
      <c r="O149" s="46" t="s">
        <v>495</v>
      </c>
    </row>
    <row r="150" spans="1:15" ht="108.6">
      <c r="A150" s="6">
        <v>17</v>
      </c>
      <c r="B150" s="6" t="s">
        <v>488</v>
      </c>
      <c r="C150" s="6" t="s">
        <v>192</v>
      </c>
      <c r="D150" s="5" t="s">
        <v>496</v>
      </c>
      <c r="E150" s="5" t="s">
        <v>39</v>
      </c>
      <c r="F150" s="6" t="s">
        <v>21</v>
      </c>
      <c r="G150" s="6"/>
      <c r="H150" s="5" t="s">
        <v>497</v>
      </c>
      <c r="I150" s="12" t="s">
        <v>498</v>
      </c>
      <c r="J150" s="29" t="s">
        <v>33</v>
      </c>
      <c r="K150" s="29">
        <v>1</v>
      </c>
      <c r="L150" s="29"/>
      <c r="M150" s="25" t="s">
        <v>499</v>
      </c>
      <c r="N150" s="15" t="s">
        <v>29</v>
      </c>
      <c r="O150" s="30" t="s">
        <v>18</v>
      </c>
    </row>
    <row r="151" spans="1:15" ht="77.45">
      <c r="A151" s="6">
        <v>17</v>
      </c>
      <c r="B151" s="6" t="s">
        <v>488</v>
      </c>
      <c r="C151" s="6" t="s">
        <v>500</v>
      </c>
      <c r="D151" s="5" t="s">
        <v>501</v>
      </c>
      <c r="E151" s="5" t="s">
        <v>39</v>
      </c>
      <c r="F151" s="6" t="s">
        <v>21</v>
      </c>
      <c r="G151" s="6"/>
      <c r="H151" s="5" t="s">
        <v>497</v>
      </c>
      <c r="I151" s="12" t="s">
        <v>498</v>
      </c>
      <c r="J151" s="29" t="s">
        <v>33</v>
      </c>
      <c r="K151" s="29">
        <v>1</v>
      </c>
      <c r="L151" s="29"/>
      <c r="M151" s="25" t="s">
        <v>499</v>
      </c>
      <c r="N151" s="15" t="s">
        <v>29</v>
      </c>
      <c r="O151" s="30" t="s">
        <v>18</v>
      </c>
    </row>
    <row r="152" spans="1:15" ht="77.45">
      <c r="A152" s="6">
        <v>17</v>
      </c>
      <c r="B152" s="6" t="s">
        <v>488</v>
      </c>
      <c r="C152" s="6" t="s">
        <v>198</v>
      </c>
      <c r="D152" s="5" t="s">
        <v>502</v>
      </c>
      <c r="E152" s="5" t="s">
        <v>39</v>
      </c>
      <c r="F152" s="6" t="s">
        <v>21</v>
      </c>
      <c r="G152" s="6"/>
      <c r="H152" s="5" t="s">
        <v>503</v>
      </c>
      <c r="I152" s="12" t="s">
        <v>498</v>
      </c>
      <c r="J152" s="29" t="s">
        <v>33</v>
      </c>
      <c r="K152" s="29">
        <v>1</v>
      </c>
      <c r="L152" s="29"/>
      <c r="M152" s="25" t="s">
        <v>499</v>
      </c>
      <c r="N152" s="15" t="s">
        <v>29</v>
      </c>
      <c r="O152" s="30" t="s">
        <v>18</v>
      </c>
    </row>
    <row r="153" spans="1:15" ht="108.6">
      <c r="A153" s="6">
        <v>17</v>
      </c>
      <c r="B153" s="6" t="s">
        <v>488</v>
      </c>
      <c r="C153" s="6" t="s">
        <v>203</v>
      </c>
      <c r="D153" s="5" t="s">
        <v>504</v>
      </c>
      <c r="E153" s="5" t="s">
        <v>425</v>
      </c>
      <c r="F153" s="6" t="s">
        <v>21</v>
      </c>
      <c r="G153" s="6"/>
      <c r="H153" s="5" t="s">
        <v>505</v>
      </c>
      <c r="I153" s="12" t="s">
        <v>498</v>
      </c>
      <c r="J153" s="29" t="s">
        <v>33</v>
      </c>
      <c r="K153" s="29">
        <v>1</v>
      </c>
      <c r="L153" s="29"/>
      <c r="M153" s="25" t="s">
        <v>499</v>
      </c>
      <c r="N153" s="15" t="s">
        <v>29</v>
      </c>
      <c r="O153" s="30" t="s">
        <v>18</v>
      </c>
    </row>
    <row r="154" spans="1:15" ht="93">
      <c r="A154" s="6">
        <v>17</v>
      </c>
      <c r="B154" s="6" t="s">
        <v>488</v>
      </c>
      <c r="C154" s="6" t="s">
        <v>506</v>
      </c>
      <c r="D154" s="5" t="s">
        <v>507</v>
      </c>
      <c r="E154" s="5" t="s">
        <v>425</v>
      </c>
      <c r="F154" s="6" t="s">
        <v>21</v>
      </c>
      <c r="G154" s="6"/>
      <c r="H154" s="5" t="s">
        <v>508</v>
      </c>
      <c r="I154" s="12" t="s">
        <v>498</v>
      </c>
      <c r="J154" s="29" t="s">
        <v>33</v>
      </c>
      <c r="K154" s="29">
        <v>1</v>
      </c>
      <c r="L154" s="29"/>
      <c r="M154" s="25" t="s">
        <v>499</v>
      </c>
      <c r="N154" s="15" t="s">
        <v>29</v>
      </c>
      <c r="O154" s="30" t="s">
        <v>18</v>
      </c>
    </row>
    <row r="155" spans="1:15" ht="46.5">
      <c r="A155" s="6">
        <v>17</v>
      </c>
      <c r="B155" s="6" t="s">
        <v>488</v>
      </c>
      <c r="C155" s="6" t="s">
        <v>509</v>
      </c>
      <c r="D155" s="5" t="s">
        <v>510</v>
      </c>
      <c r="E155" s="5" t="s">
        <v>39</v>
      </c>
      <c r="F155" s="6" t="s">
        <v>29</v>
      </c>
      <c r="G155" s="6"/>
      <c r="H155" s="5" t="s">
        <v>511</v>
      </c>
      <c r="I155" s="12"/>
      <c r="J155" s="29" t="s">
        <v>33</v>
      </c>
      <c r="K155" s="29">
        <v>1</v>
      </c>
      <c r="L155" s="29"/>
      <c r="M155" s="25" t="s">
        <v>101</v>
      </c>
      <c r="N155" s="15" t="s">
        <v>29</v>
      </c>
      <c r="O155" s="30" t="s">
        <v>36</v>
      </c>
    </row>
    <row r="156" spans="1:15" ht="46.5">
      <c r="A156" s="6">
        <v>17</v>
      </c>
      <c r="B156" s="6" t="s">
        <v>488</v>
      </c>
      <c r="C156" s="6" t="s">
        <v>512</v>
      </c>
      <c r="D156" s="5" t="s">
        <v>513</v>
      </c>
      <c r="E156" s="5" t="s">
        <v>39</v>
      </c>
      <c r="F156" s="6" t="s">
        <v>29</v>
      </c>
      <c r="G156" s="6"/>
      <c r="H156" s="5" t="s">
        <v>511</v>
      </c>
      <c r="I156" s="12"/>
      <c r="J156" s="29" t="s">
        <v>33</v>
      </c>
      <c r="K156" s="29">
        <v>1</v>
      </c>
      <c r="L156" s="29"/>
      <c r="M156" s="25" t="s">
        <v>101</v>
      </c>
      <c r="N156" s="15" t="s">
        <v>29</v>
      </c>
      <c r="O156" s="30" t="s">
        <v>36</v>
      </c>
    </row>
    <row r="157" spans="1:15" ht="46.5">
      <c r="A157" s="6">
        <v>18</v>
      </c>
      <c r="B157" s="6" t="s">
        <v>488</v>
      </c>
      <c r="C157" s="6" t="s">
        <v>514</v>
      </c>
      <c r="D157" s="5" t="s">
        <v>515</v>
      </c>
      <c r="E157" s="5" t="s">
        <v>39</v>
      </c>
      <c r="F157" s="6" t="s">
        <v>29</v>
      </c>
      <c r="G157" s="6"/>
      <c r="H157" s="5" t="s">
        <v>511</v>
      </c>
      <c r="I157" s="12"/>
      <c r="J157" s="29" t="s">
        <v>33</v>
      </c>
      <c r="K157" s="29">
        <v>1</v>
      </c>
      <c r="L157" s="29"/>
      <c r="M157" s="25" t="s">
        <v>101</v>
      </c>
      <c r="N157" s="15" t="s">
        <v>29</v>
      </c>
      <c r="O157" s="30" t="s">
        <v>36</v>
      </c>
    </row>
    <row r="158" spans="1:15" ht="46.5">
      <c r="A158" s="6">
        <v>18</v>
      </c>
      <c r="B158" s="6" t="s">
        <v>488</v>
      </c>
      <c r="C158" s="6" t="s">
        <v>516</v>
      </c>
      <c r="D158" s="5" t="s">
        <v>517</v>
      </c>
      <c r="E158" s="5" t="s">
        <v>39</v>
      </c>
      <c r="F158" s="6" t="s">
        <v>29</v>
      </c>
      <c r="G158" s="6"/>
      <c r="H158" s="5" t="s">
        <v>511</v>
      </c>
      <c r="I158" s="12"/>
      <c r="J158" s="29" t="s">
        <v>33</v>
      </c>
      <c r="K158" s="29">
        <v>1</v>
      </c>
      <c r="L158" s="29"/>
      <c r="M158" s="25" t="s">
        <v>101</v>
      </c>
      <c r="N158" s="15" t="s">
        <v>29</v>
      </c>
      <c r="O158" s="30" t="s">
        <v>36</v>
      </c>
    </row>
    <row r="159" spans="1:15" ht="62.1">
      <c r="A159" s="6">
        <v>18</v>
      </c>
      <c r="B159" s="6" t="s">
        <v>488</v>
      </c>
      <c r="C159" s="6" t="s">
        <v>518</v>
      </c>
      <c r="D159" s="5" t="s">
        <v>519</v>
      </c>
      <c r="E159" s="5" t="s">
        <v>39</v>
      </c>
      <c r="F159" s="6" t="s">
        <v>29</v>
      </c>
      <c r="G159" s="6"/>
      <c r="H159" s="5" t="s">
        <v>511</v>
      </c>
      <c r="I159" s="12"/>
      <c r="J159" s="29" t="s">
        <v>33</v>
      </c>
      <c r="K159" s="29">
        <v>1</v>
      </c>
      <c r="L159" s="29"/>
      <c r="M159" s="25" t="s">
        <v>101</v>
      </c>
      <c r="N159" s="15" t="s">
        <v>29</v>
      </c>
      <c r="O159" s="30" t="s">
        <v>36</v>
      </c>
    </row>
    <row r="160" spans="1:15" ht="93">
      <c r="A160" s="6">
        <v>18</v>
      </c>
      <c r="B160" s="6" t="s">
        <v>488</v>
      </c>
      <c r="C160" s="6" t="s">
        <v>520</v>
      </c>
      <c r="D160" s="5" t="s">
        <v>521</v>
      </c>
      <c r="E160" s="5" t="s">
        <v>39</v>
      </c>
      <c r="F160" s="6" t="s">
        <v>29</v>
      </c>
      <c r="G160" s="6"/>
      <c r="H160" s="5" t="s">
        <v>511</v>
      </c>
      <c r="I160" s="12"/>
      <c r="J160" s="29" t="s">
        <v>33</v>
      </c>
      <c r="K160" s="29">
        <v>1</v>
      </c>
      <c r="L160" s="29"/>
      <c r="M160" s="25" t="s">
        <v>101</v>
      </c>
      <c r="N160" s="15" t="s">
        <v>29</v>
      </c>
      <c r="O160" s="30" t="s">
        <v>36</v>
      </c>
    </row>
    <row r="161" spans="1:15" ht="46.5">
      <c r="A161" s="6">
        <v>18</v>
      </c>
      <c r="B161" s="6" t="s">
        <v>488</v>
      </c>
      <c r="C161" s="6" t="s">
        <v>522</v>
      </c>
      <c r="D161" s="5" t="s">
        <v>523</v>
      </c>
      <c r="E161" s="5" t="s">
        <v>39</v>
      </c>
      <c r="F161" s="6" t="s">
        <v>29</v>
      </c>
      <c r="G161" s="6"/>
      <c r="H161" s="5" t="s">
        <v>511</v>
      </c>
      <c r="I161" s="12"/>
      <c r="J161" s="29" t="s">
        <v>33</v>
      </c>
      <c r="K161" s="29">
        <v>1</v>
      </c>
      <c r="L161" s="29"/>
      <c r="M161" s="25" t="s">
        <v>101</v>
      </c>
      <c r="N161" s="15" t="s">
        <v>29</v>
      </c>
      <c r="O161" s="30" t="s">
        <v>36</v>
      </c>
    </row>
    <row r="162" spans="1:15" ht="62.1">
      <c r="A162" s="6">
        <v>18</v>
      </c>
      <c r="B162" s="6" t="s">
        <v>488</v>
      </c>
      <c r="C162" s="6" t="s">
        <v>354</v>
      </c>
      <c r="D162" s="5" t="s">
        <v>524</v>
      </c>
      <c r="E162" s="5" t="s">
        <v>39</v>
      </c>
      <c r="F162" s="6" t="s">
        <v>29</v>
      </c>
      <c r="G162" s="6"/>
      <c r="H162" s="5" t="s">
        <v>525</v>
      </c>
      <c r="I162" s="12"/>
      <c r="J162" s="29" t="s">
        <v>33</v>
      </c>
      <c r="K162" s="29">
        <v>1</v>
      </c>
      <c r="L162" s="29"/>
      <c r="M162" s="25" t="s">
        <v>101</v>
      </c>
      <c r="N162" s="15" t="s">
        <v>29</v>
      </c>
      <c r="O162" s="30" t="s">
        <v>36</v>
      </c>
    </row>
    <row r="163" spans="1:15" ht="62.1">
      <c r="A163" s="6">
        <v>18</v>
      </c>
      <c r="B163" s="6" t="s">
        <v>488</v>
      </c>
      <c r="C163" s="6" t="s">
        <v>526</v>
      </c>
      <c r="D163" s="5" t="s">
        <v>527</v>
      </c>
      <c r="E163" s="5" t="s">
        <v>39</v>
      </c>
      <c r="F163" s="6" t="s">
        <v>29</v>
      </c>
      <c r="G163" s="6"/>
      <c r="H163" s="5" t="s">
        <v>525</v>
      </c>
      <c r="I163" s="12"/>
      <c r="J163" s="29" t="s">
        <v>33</v>
      </c>
      <c r="K163" s="29">
        <v>1</v>
      </c>
      <c r="L163" s="29"/>
      <c r="M163" s="25" t="s">
        <v>101</v>
      </c>
      <c r="N163" s="15" t="s">
        <v>29</v>
      </c>
      <c r="O163" s="30" t="s">
        <v>36</v>
      </c>
    </row>
    <row r="164" spans="1:15" ht="62.1">
      <c r="A164" s="6">
        <v>18</v>
      </c>
      <c r="B164" s="6" t="s">
        <v>488</v>
      </c>
      <c r="C164" s="6" t="s">
        <v>528</v>
      </c>
      <c r="D164" s="5" t="s">
        <v>529</v>
      </c>
      <c r="E164" s="5" t="s">
        <v>39</v>
      </c>
      <c r="F164" s="6" t="s">
        <v>29</v>
      </c>
      <c r="G164" s="6"/>
      <c r="H164" s="5" t="s">
        <v>525</v>
      </c>
      <c r="I164" s="12"/>
      <c r="J164" s="29" t="s">
        <v>33</v>
      </c>
      <c r="K164" s="29">
        <v>1</v>
      </c>
      <c r="L164" s="29"/>
      <c r="M164" s="25" t="s">
        <v>101</v>
      </c>
      <c r="N164" s="15" t="s">
        <v>29</v>
      </c>
      <c r="O164" s="30" t="s">
        <v>36</v>
      </c>
    </row>
    <row r="165" spans="1:15" ht="62.1">
      <c r="A165" s="6">
        <v>18</v>
      </c>
      <c r="B165" s="6" t="s">
        <v>488</v>
      </c>
      <c r="C165" s="6" t="s">
        <v>530</v>
      </c>
      <c r="D165" s="5" t="s">
        <v>531</v>
      </c>
      <c r="E165" s="5" t="s">
        <v>39</v>
      </c>
      <c r="F165" s="6" t="s">
        <v>29</v>
      </c>
      <c r="G165" s="6"/>
      <c r="H165" s="5" t="s">
        <v>525</v>
      </c>
      <c r="I165" s="12"/>
      <c r="J165" s="29" t="s">
        <v>33</v>
      </c>
      <c r="K165" s="29">
        <v>1</v>
      </c>
      <c r="L165" s="29"/>
      <c r="M165" s="25" t="s">
        <v>101</v>
      </c>
      <c r="N165" s="15" t="s">
        <v>29</v>
      </c>
      <c r="O165" s="30" t="s">
        <v>36</v>
      </c>
    </row>
    <row r="166" spans="1:15" ht="62.1">
      <c r="A166" s="6">
        <v>18</v>
      </c>
      <c r="B166" s="6" t="s">
        <v>488</v>
      </c>
      <c r="C166" s="6" t="s">
        <v>532</v>
      </c>
      <c r="D166" s="5" t="s">
        <v>533</v>
      </c>
      <c r="E166" s="5" t="s">
        <v>39</v>
      </c>
      <c r="F166" s="6" t="s">
        <v>29</v>
      </c>
      <c r="G166" s="6"/>
      <c r="H166" s="5" t="s">
        <v>525</v>
      </c>
      <c r="I166" s="12"/>
      <c r="J166" s="29" t="s">
        <v>33</v>
      </c>
      <c r="K166" s="29">
        <v>1</v>
      </c>
      <c r="L166" s="29"/>
      <c r="M166" s="25" t="s">
        <v>101</v>
      </c>
      <c r="N166" s="15" t="s">
        <v>29</v>
      </c>
      <c r="O166" s="30" t="s">
        <v>36</v>
      </c>
    </row>
    <row r="167" spans="1:15" ht="62.1">
      <c r="A167" s="6">
        <v>18</v>
      </c>
      <c r="B167" s="6" t="s">
        <v>488</v>
      </c>
      <c r="C167" s="6" t="s">
        <v>534</v>
      </c>
      <c r="D167" s="5" t="s">
        <v>535</v>
      </c>
      <c r="E167" s="5" t="s">
        <v>39</v>
      </c>
      <c r="F167" s="6" t="s">
        <v>29</v>
      </c>
      <c r="G167" s="6"/>
      <c r="H167" s="5" t="s">
        <v>525</v>
      </c>
      <c r="I167" s="12"/>
      <c r="J167" s="29" t="s">
        <v>33</v>
      </c>
      <c r="K167" s="29">
        <v>1</v>
      </c>
      <c r="L167" s="29"/>
      <c r="M167" s="25" t="s">
        <v>101</v>
      </c>
      <c r="N167" s="15" t="s">
        <v>29</v>
      </c>
      <c r="O167" s="30" t="s">
        <v>36</v>
      </c>
    </row>
    <row r="168" spans="1:15" ht="62.1">
      <c r="A168" s="6">
        <v>18</v>
      </c>
      <c r="B168" s="6" t="s">
        <v>488</v>
      </c>
      <c r="C168" s="6" t="s">
        <v>356</v>
      </c>
      <c r="D168" s="5" t="s">
        <v>536</v>
      </c>
      <c r="E168" s="5" t="s">
        <v>39</v>
      </c>
      <c r="F168" s="6" t="s">
        <v>29</v>
      </c>
      <c r="G168" s="6"/>
      <c r="H168" s="5" t="s">
        <v>525</v>
      </c>
      <c r="I168" s="12"/>
      <c r="J168" s="29" t="s">
        <v>33</v>
      </c>
      <c r="K168" s="29">
        <v>1</v>
      </c>
      <c r="L168" s="29"/>
      <c r="M168" s="25" t="s">
        <v>101</v>
      </c>
      <c r="N168" s="15" t="s">
        <v>29</v>
      </c>
      <c r="O168" s="30" t="s">
        <v>36</v>
      </c>
    </row>
    <row r="169" spans="1:15" ht="62.1">
      <c r="A169" s="6">
        <v>18</v>
      </c>
      <c r="B169" s="6" t="s">
        <v>488</v>
      </c>
      <c r="C169" s="6" t="s">
        <v>537</v>
      </c>
      <c r="D169" s="5" t="s">
        <v>527</v>
      </c>
      <c r="E169" s="5" t="s">
        <v>39</v>
      </c>
      <c r="F169" s="6" t="s">
        <v>29</v>
      </c>
      <c r="G169" s="6"/>
      <c r="H169" s="5" t="s">
        <v>525</v>
      </c>
      <c r="I169" s="12"/>
      <c r="J169" s="29" t="s">
        <v>33</v>
      </c>
      <c r="K169" s="29">
        <v>1</v>
      </c>
      <c r="L169" s="29"/>
      <c r="M169" s="25" t="s">
        <v>101</v>
      </c>
      <c r="N169" s="15" t="s">
        <v>29</v>
      </c>
      <c r="O169" s="30" t="s">
        <v>36</v>
      </c>
    </row>
    <row r="170" spans="1:15" ht="62.1">
      <c r="A170" s="6">
        <v>18</v>
      </c>
      <c r="B170" s="6" t="s">
        <v>488</v>
      </c>
      <c r="C170" s="6" t="s">
        <v>538</v>
      </c>
      <c r="D170" s="5" t="s">
        <v>529</v>
      </c>
      <c r="E170" s="5" t="s">
        <v>39</v>
      </c>
      <c r="F170" s="6" t="s">
        <v>29</v>
      </c>
      <c r="G170" s="6"/>
      <c r="H170" s="5" t="s">
        <v>525</v>
      </c>
      <c r="I170" s="12"/>
      <c r="J170" s="29" t="s">
        <v>33</v>
      </c>
      <c r="K170" s="29">
        <v>1</v>
      </c>
      <c r="L170" s="29"/>
      <c r="M170" s="25" t="s">
        <v>101</v>
      </c>
      <c r="N170" s="15" t="s">
        <v>29</v>
      </c>
      <c r="O170" s="30" t="s">
        <v>36</v>
      </c>
    </row>
    <row r="171" spans="1:15" ht="62.1">
      <c r="A171" s="6">
        <v>18</v>
      </c>
      <c r="B171" s="6" t="s">
        <v>488</v>
      </c>
      <c r="C171" s="6" t="s">
        <v>539</v>
      </c>
      <c r="D171" s="5" t="s">
        <v>540</v>
      </c>
      <c r="E171" s="5" t="s">
        <v>39</v>
      </c>
      <c r="F171" s="6" t="s">
        <v>29</v>
      </c>
      <c r="G171" s="6"/>
      <c r="H171" s="5" t="s">
        <v>525</v>
      </c>
      <c r="I171" s="12"/>
      <c r="J171" s="29" t="s">
        <v>33</v>
      </c>
      <c r="K171" s="29">
        <v>1</v>
      </c>
      <c r="L171" s="29"/>
      <c r="M171" s="25" t="s">
        <v>101</v>
      </c>
      <c r="N171" s="15" t="s">
        <v>29</v>
      </c>
      <c r="O171" s="30" t="s">
        <v>36</v>
      </c>
    </row>
    <row r="172" spans="1:15" ht="62.1">
      <c r="A172" s="6">
        <v>18</v>
      </c>
      <c r="B172" s="6" t="s">
        <v>488</v>
      </c>
      <c r="C172" s="6" t="s">
        <v>541</v>
      </c>
      <c r="D172" s="5" t="s">
        <v>533</v>
      </c>
      <c r="E172" s="5" t="s">
        <v>39</v>
      </c>
      <c r="F172" s="6" t="s">
        <v>29</v>
      </c>
      <c r="G172" s="6"/>
      <c r="H172" s="5" t="s">
        <v>525</v>
      </c>
      <c r="I172" s="12"/>
      <c r="J172" s="29" t="s">
        <v>33</v>
      </c>
      <c r="K172" s="29">
        <v>1</v>
      </c>
      <c r="L172" s="29"/>
      <c r="M172" s="25" t="s">
        <v>101</v>
      </c>
      <c r="N172" s="15" t="s">
        <v>29</v>
      </c>
      <c r="O172" s="30" t="s">
        <v>36</v>
      </c>
    </row>
    <row r="173" spans="1:15" ht="62.1">
      <c r="A173" s="6">
        <v>18</v>
      </c>
      <c r="B173" s="6" t="s">
        <v>488</v>
      </c>
      <c r="C173" s="6" t="s">
        <v>542</v>
      </c>
      <c r="D173" s="5" t="s">
        <v>535</v>
      </c>
      <c r="E173" s="5" t="s">
        <v>39</v>
      </c>
      <c r="F173" s="6" t="s">
        <v>29</v>
      </c>
      <c r="G173" s="6"/>
      <c r="H173" s="5" t="s">
        <v>525</v>
      </c>
      <c r="I173" s="12"/>
      <c r="J173" s="29" t="s">
        <v>33</v>
      </c>
      <c r="K173" s="29">
        <v>1</v>
      </c>
      <c r="L173" s="29"/>
      <c r="M173" s="25" t="s">
        <v>101</v>
      </c>
      <c r="N173" s="15" t="s">
        <v>29</v>
      </c>
      <c r="O173" s="30" t="s">
        <v>36</v>
      </c>
    </row>
    <row r="174" spans="1:15" s="70" customFormat="1" ht="62.1">
      <c r="A174" s="63">
        <v>18</v>
      </c>
      <c r="B174" s="63" t="s">
        <v>488</v>
      </c>
      <c r="C174" s="63" t="s">
        <v>358</v>
      </c>
      <c r="D174" s="64" t="s">
        <v>543</v>
      </c>
      <c r="E174" s="64" t="s">
        <v>39</v>
      </c>
      <c r="F174" s="63" t="s">
        <v>29</v>
      </c>
      <c r="G174" s="63"/>
      <c r="H174" s="64" t="s">
        <v>525</v>
      </c>
      <c r="I174" s="65"/>
      <c r="J174" s="66" t="s">
        <v>33</v>
      </c>
      <c r="K174" s="66">
        <v>1</v>
      </c>
      <c r="L174" s="66"/>
      <c r="M174" s="67" t="s">
        <v>101</v>
      </c>
      <c r="N174" s="68" t="s">
        <v>18</v>
      </c>
      <c r="O174" s="69" t="s">
        <v>36</v>
      </c>
    </row>
    <row r="175" spans="1:15" s="70" customFormat="1" ht="62.1">
      <c r="A175" s="63">
        <v>18</v>
      </c>
      <c r="B175" s="63" t="s">
        <v>488</v>
      </c>
      <c r="C175" s="63" t="s">
        <v>544</v>
      </c>
      <c r="D175" s="64" t="s">
        <v>545</v>
      </c>
      <c r="E175" s="64" t="s">
        <v>39</v>
      </c>
      <c r="F175" s="63" t="s">
        <v>29</v>
      </c>
      <c r="G175" s="63"/>
      <c r="H175" s="64" t="s">
        <v>525</v>
      </c>
      <c r="I175" s="65"/>
      <c r="J175" s="66" t="s">
        <v>33</v>
      </c>
      <c r="K175" s="66">
        <v>1</v>
      </c>
      <c r="L175" s="66"/>
      <c r="M175" s="67" t="s">
        <v>101</v>
      </c>
      <c r="N175" s="68" t="s">
        <v>18</v>
      </c>
      <c r="O175" s="69" t="s">
        <v>36</v>
      </c>
    </row>
    <row r="176" spans="1:15" ht="62.1">
      <c r="A176" s="6">
        <v>18</v>
      </c>
      <c r="B176" s="6" t="s">
        <v>488</v>
      </c>
      <c r="C176" s="6" t="s">
        <v>546</v>
      </c>
      <c r="D176" s="5" t="s">
        <v>547</v>
      </c>
      <c r="E176" s="5" t="s">
        <v>39</v>
      </c>
      <c r="F176" s="6" t="s">
        <v>29</v>
      </c>
      <c r="G176" s="6"/>
      <c r="H176" s="5" t="s">
        <v>525</v>
      </c>
      <c r="I176" s="12"/>
      <c r="J176" s="29" t="s">
        <v>33</v>
      </c>
      <c r="K176" s="29">
        <v>1</v>
      </c>
      <c r="L176" s="29"/>
      <c r="M176" s="25" t="s">
        <v>101</v>
      </c>
      <c r="N176" s="15" t="s">
        <v>29</v>
      </c>
      <c r="O176" s="30" t="s">
        <v>36</v>
      </c>
    </row>
    <row r="177" spans="1:15" ht="62.1">
      <c r="A177" s="6">
        <v>18</v>
      </c>
      <c r="B177" s="6" t="s">
        <v>488</v>
      </c>
      <c r="C177" s="6" t="s">
        <v>546</v>
      </c>
      <c r="D177" s="5" t="s">
        <v>548</v>
      </c>
      <c r="E177" s="5" t="s">
        <v>39</v>
      </c>
      <c r="F177" s="6" t="s">
        <v>29</v>
      </c>
      <c r="G177" s="6"/>
      <c r="H177" s="5" t="s">
        <v>525</v>
      </c>
      <c r="I177" s="12"/>
      <c r="J177" s="29" t="s">
        <v>33</v>
      </c>
      <c r="K177" s="29">
        <v>1</v>
      </c>
      <c r="L177" s="29"/>
      <c r="M177" s="25" t="s">
        <v>101</v>
      </c>
      <c r="N177" s="15" t="s">
        <v>29</v>
      </c>
      <c r="O177" s="30" t="s">
        <v>36</v>
      </c>
    </row>
    <row r="178" spans="1:15" ht="62.1">
      <c r="A178" s="6">
        <v>18</v>
      </c>
      <c r="B178" s="6" t="s">
        <v>488</v>
      </c>
      <c r="C178" s="6" t="s">
        <v>546</v>
      </c>
      <c r="D178" s="5" t="s">
        <v>549</v>
      </c>
      <c r="E178" s="5" t="s">
        <v>39</v>
      </c>
      <c r="F178" s="6" t="s">
        <v>29</v>
      </c>
      <c r="G178" s="6"/>
      <c r="H178" s="5" t="s">
        <v>525</v>
      </c>
      <c r="I178" s="12"/>
      <c r="J178" s="29" t="s">
        <v>33</v>
      </c>
      <c r="K178" s="29">
        <v>1</v>
      </c>
      <c r="L178" s="29"/>
      <c r="M178" s="25" t="s">
        <v>101</v>
      </c>
      <c r="N178" s="15" t="s">
        <v>29</v>
      </c>
      <c r="O178" s="30" t="s">
        <v>36</v>
      </c>
    </row>
    <row r="179" spans="1:15" ht="62.1">
      <c r="A179" s="6">
        <v>18</v>
      </c>
      <c r="B179" s="6" t="s">
        <v>488</v>
      </c>
      <c r="C179" s="6" t="s">
        <v>546</v>
      </c>
      <c r="D179" s="5" t="s">
        <v>550</v>
      </c>
      <c r="E179" s="5" t="s">
        <v>39</v>
      </c>
      <c r="F179" s="6" t="s">
        <v>29</v>
      </c>
      <c r="G179" s="6"/>
      <c r="H179" s="5" t="s">
        <v>525</v>
      </c>
      <c r="I179" s="12"/>
      <c r="J179" s="29" t="s">
        <v>33</v>
      </c>
      <c r="K179" s="29">
        <v>1</v>
      </c>
      <c r="L179" s="29"/>
      <c r="M179" s="25" t="s">
        <v>101</v>
      </c>
      <c r="N179" s="15" t="s">
        <v>29</v>
      </c>
      <c r="O179" s="30" t="s">
        <v>36</v>
      </c>
    </row>
    <row r="180" spans="1:15" ht="62.1">
      <c r="A180" s="6">
        <v>18</v>
      </c>
      <c r="B180" s="6" t="s">
        <v>488</v>
      </c>
      <c r="C180" s="6" t="s">
        <v>551</v>
      </c>
      <c r="D180" s="5" t="s">
        <v>531</v>
      </c>
      <c r="E180" s="5" t="s">
        <v>39</v>
      </c>
      <c r="F180" s="6" t="s">
        <v>29</v>
      </c>
      <c r="G180" s="6"/>
      <c r="H180" s="5" t="s">
        <v>525</v>
      </c>
      <c r="I180" s="12"/>
      <c r="J180" s="29" t="s">
        <v>33</v>
      </c>
      <c r="K180" s="29">
        <v>1</v>
      </c>
      <c r="L180" s="29"/>
      <c r="M180" s="25" t="s">
        <v>101</v>
      </c>
      <c r="N180" s="15" t="s">
        <v>29</v>
      </c>
      <c r="O180" s="30" t="s">
        <v>36</v>
      </c>
    </row>
    <row r="181" spans="1:15" ht="62.1">
      <c r="A181" s="6">
        <v>18</v>
      </c>
      <c r="B181" s="6" t="s">
        <v>488</v>
      </c>
      <c r="C181" s="6" t="s">
        <v>552</v>
      </c>
      <c r="D181" s="5" t="s">
        <v>533</v>
      </c>
      <c r="E181" s="5" t="s">
        <v>39</v>
      </c>
      <c r="F181" s="6" t="s">
        <v>29</v>
      </c>
      <c r="G181" s="6"/>
      <c r="H181" s="5" t="s">
        <v>525</v>
      </c>
      <c r="I181" s="12"/>
      <c r="J181" s="29" t="s">
        <v>33</v>
      </c>
      <c r="K181" s="29">
        <v>1</v>
      </c>
      <c r="L181" s="29"/>
      <c r="M181" s="25" t="s">
        <v>101</v>
      </c>
      <c r="N181" s="15" t="s">
        <v>29</v>
      </c>
      <c r="O181" s="30" t="s">
        <v>36</v>
      </c>
    </row>
    <row r="182" spans="1:15" ht="62.1">
      <c r="A182" s="6">
        <v>19</v>
      </c>
      <c r="B182" s="6" t="s">
        <v>488</v>
      </c>
      <c r="C182" s="6" t="s">
        <v>553</v>
      </c>
      <c r="D182" s="5" t="s">
        <v>535</v>
      </c>
      <c r="E182" s="5" t="s">
        <v>39</v>
      </c>
      <c r="F182" s="6" t="s">
        <v>29</v>
      </c>
      <c r="G182" s="6"/>
      <c r="H182" s="5" t="s">
        <v>525</v>
      </c>
      <c r="I182" s="12"/>
      <c r="J182" s="29" t="s">
        <v>33</v>
      </c>
      <c r="K182" s="29">
        <v>1</v>
      </c>
      <c r="L182" s="29"/>
      <c r="M182" s="25" t="s">
        <v>101</v>
      </c>
      <c r="N182" s="15" t="s">
        <v>29</v>
      </c>
      <c r="O182" s="30" t="s">
        <v>36</v>
      </c>
    </row>
    <row r="183" spans="1:15" ht="62.1">
      <c r="A183" s="6">
        <v>19</v>
      </c>
      <c r="B183" s="6" t="s">
        <v>488</v>
      </c>
      <c r="C183" s="6" t="s">
        <v>360</v>
      </c>
      <c r="D183" s="5" t="s">
        <v>554</v>
      </c>
      <c r="E183" s="5" t="s">
        <v>39</v>
      </c>
      <c r="F183" s="6" t="s">
        <v>29</v>
      </c>
      <c r="G183" s="6"/>
      <c r="H183" s="5" t="s">
        <v>525</v>
      </c>
      <c r="I183" s="12"/>
      <c r="J183" s="29" t="s">
        <v>33</v>
      </c>
      <c r="K183" s="29">
        <v>1</v>
      </c>
      <c r="L183" s="29"/>
      <c r="M183" s="25" t="s">
        <v>101</v>
      </c>
      <c r="N183" s="15" t="s">
        <v>29</v>
      </c>
      <c r="O183" s="30" t="s">
        <v>36</v>
      </c>
    </row>
    <row r="184" spans="1:15" ht="108.6">
      <c r="A184" s="17">
        <v>19</v>
      </c>
      <c r="B184" s="17" t="s">
        <v>488</v>
      </c>
      <c r="C184" s="17" t="s">
        <v>555</v>
      </c>
      <c r="D184" s="43" t="s">
        <v>556</v>
      </c>
      <c r="E184" s="43" t="s">
        <v>39</v>
      </c>
      <c r="F184" s="17" t="s">
        <v>557</v>
      </c>
      <c r="G184" s="17"/>
      <c r="H184" s="43" t="s">
        <v>558</v>
      </c>
      <c r="I184" s="19" t="s">
        <v>559</v>
      </c>
      <c r="J184" s="44" t="s">
        <v>33</v>
      </c>
      <c r="K184" s="44">
        <v>1</v>
      </c>
      <c r="L184" s="44"/>
      <c r="M184" s="45" t="s">
        <v>560</v>
      </c>
      <c r="N184" s="18" t="s">
        <v>29</v>
      </c>
      <c r="O184" s="46" t="s">
        <v>495</v>
      </c>
    </row>
    <row r="185" spans="1:15" ht="170.45">
      <c r="A185" s="6">
        <v>19</v>
      </c>
      <c r="B185" s="6" t="s">
        <v>488</v>
      </c>
      <c r="C185" s="6" t="s">
        <v>561</v>
      </c>
      <c r="D185" s="5" t="s">
        <v>562</v>
      </c>
      <c r="E185" s="5" t="s">
        <v>39</v>
      </c>
      <c r="F185" s="6" t="s">
        <v>29</v>
      </c>
      <c r="G185" s="6"/>
      <c r="H185" s="5" t="s">
        <v>563</v>
      </c>
      <c r="I185" s="12"/>
      <c r="J185" s="29" t="s">
        <v>33</v>
      </c>
      <c r="K185" s="29">
        <v>1</v>
      </c>
      <c r="L185" s="29"/>
      <c r="M185" s="25" t="s">
        <v>469</v>
      </c>
      <c r="N185" s="15" t="s">
        <v>29</v>
      </c>
      <c r="O185" s="30" t="s">
        <v>36</v>
      </c>
    </row>
    <row r="186" spans="1:15" ht="77.45">
      <c r="A186" s="6">
        <v>19</v>
      </c>
      <c r="B186" s="6" t="s">
        <v>564</v>
      </c>
      <c r="C186" s="6" t="s">
        <v>565</v>
      </c>
      <c r="D186" s="5" t="s">
        <v>566</v>
      </c>
      <c r="E186" s="5" t="s">
        <v>61</v>
      </c>
      <c r="F186" s="6" t="s">
        <v>29</v>
      </c>
      <c r="G186" s="6"/>
      <c r="H186" s="5" t="s">
        <v>56</v>
      </c>
      <c r="I186" s="12"/>
      <c r="J186" s="29" t="s">
        <v>33</v>
      </c>
      <c r="K186" s="29">
        <v>2</v>
      </c>
      <c r="L186" s="29"/>
      <c r="M186" s="25" t="s">
        <v>567</v>
      </c>
      <c r="N186" s="15" t="s">
        <v>29</v>
      </c>
      <c r="O186" s="30" t="s">
        <v>568</v>
      </c>
    </row>
    <row r="187" spans="1:15" ht="93">
      <c r="A187" s="17">
        <v>19</v>
      </c>
      <c r="B187" s="17" t="s">
        <v>564</v>
      </c>
      <c r="C187" s="17" t="s">
        <v>569</v>
      </c>
      <c r="D187" s="43" t="s">
        <v>570</v>
      </c>
      <c r="E187" s="43" t="s">
        <v>61</v>
      </c>
      <c r="F187" s="47" t="s">
        <v>29</v>
      </c>
      <c r="G187" s="47"/>
      <c r="H187" s="43" t="s">
        <v>571</v>
      </c>
      <c r="I187" s="19"/>
      <c r="J187" s="44" t="s">
        <v>33</v>
      </c>
      <c r="K187" s="44">
        <v>2</v>
      </c>
      <c r="L187" s="44"/>
      <c r="M187" s="45" t="s">
        <v>572</v>
      </c>
      <c r="N187" s="15" t="s">
        <v>29</v>
      </c>
      <c r="O187" s="46" t="s">
        <v>568</v>
      </c>
    </row>
    <row r="188" spans="1:15" ht="93">
      <c r="A188" s="6">
        <v>19</v>
      </c>
      <c r="B188" s="6" t="s">
        <v>564</v>
      </c>
      <c r="C188" s="6" t="s">
        <v>573</v>
      </c>
      <c r="D188" s="5" t="s">
        <v>574</v>
      </c>
      <c r="E188" s="5" t="s">
        <v>39</v>
      </c>
      <c r="F188" s="34" t="s">
        <v>29</v>
      </c>
      <c r="G188" s="34"/>
      <c r="H188" s="5" t="s">
        <v>571</v>
      </c>
      <c r="I188" s="12"/>
      <c r="J188" s="29" t="s">
        <v>33</v>
      </c>
      <c r="K188" s="29">
        <v>2</v>
      </c>
      <c r="L188" s="29"/>
      <c r="M188" s="25" t="s">
        <v>572</v>
      </c>
      <c r="N188" s="15" t="s">
        <v>29</v>
      </c>
      <c r="O188" s="30" t="s">
        <v>568</v>
      </c>
    </row>
    <row r="189" spans="1:15" ht="62.1">
      <c r="A189" s="6">
        <v>19</v>
      </c>
      <c r="B189" s="6" t="s">
        <v>564</v>
      </c>
      <c r="C189" s="6" t="s">
        <v>575</v>
      </c>
      <c r="D189" s="5" t="s">
        <v>576</v>
      </c>
      <c r="E189" s="5" t="s">
        <v>61</v>
      </c>
      <c r="F189" s="6" t="s">
        <v>29</v>
      </c>
      <c r="G189" s="6"/>
      <c r="H189" s="5" t="s">
        <v>56</v>
      </c>
      <c r="I189" s="12"/>
      <c r="J189" s="29" t="s">
        <v>46</v>
      </c>
      <c r="K189" s="29">
        <v>1</v>
      </c>
      <c r="L189" s="29"/>
      <c r="M189" s="25" t="s">
        <v>48</v>
      </c>
      <c r="N189" s="15" t="s">
        <v>29</v>
      </c>
      <c r="O189" s="30" t="s">
        <v>18</v>
      </c>
    </row>
    <row r="190" spans="1:15" ht="46.5">
      <c r="A190" s="6">
        <v>19</v>
      </c>
      <c r="B190" s="6" t="s">
        <v>564</v>
      </c>
      <c r="C190" s="6" t="s">
        <v>577</v>
      </c>
      <c r="D190" s="5" t="s">
        <v>578</v>
      </c>
      <c r="E190" s="5" t="s">
        <v>61</v>
      </c>
      <c r="F190" s="6" t="s">
        <v>29</v>
      </c>
      <c r="G190" s="6"/>
      <c r="H190" s="5" t="s">
        <v>56</v>
      </c>
      <c r="I190" s="12"/>
      <c r="J190" s="29" t="s">
        <v>46</v>
      </c>
      <c r="K190" s="29">
        <v>1</v>
      </c>
      <c r="L190" s="29"/>
      <c r="M190" s="25" t="s">
        <v>48</v>
      </c>
      <c r="N190" s="15" t="s">
        <v>29</v>
      </c>
      <c r="O190" s="30" t="s">
        <v>18</v>
      </c>
    </row>
    <row r="191" spans="1:15" ht="77.45">
      <c r="A191" s="6">
        <v>19</v>
      </c>
      <c r="B191" s="6" t="s">
        <v>564</v>
      </c>
      <c r="C191" s="6" t="s">
        <v>579</v>
      </c>
      <c r="D191" s="5" t="s">
        <v>580</v>
      </c>
      <c r="E191" s="5" t="s">
        <v>61</v>
      </c>
      <c r="F191" s="6" t="s">
        <v>29</v>
      </c>
      <c r="G191" s="6"/>
      <c r="H191" s="5" t="s">
        <v>581</v>
      </c>
      <c r="I191" s="12"/>
      <c r="J191" s="29" t="s">
        <v>46</v>
      </c>
      <c r="K191" s="29">
        <v>1</v>
      </c>
      <c r="L191" s="29"/>
      <c r="M191" s="25" t="s">
        <v>48</v>
      </c>
      <c r="N191" s="15" t="s">
        <v>29</v>
      </c>
      <c r="O191" s="30" t="s">
        <v>18</v>
      </c>
    </row>
    <row r="192" spans="1:15" ht="108.6">
      <c r="A192" s="6">
        <v>19</v>
      </c>
      <c r="B192" s="6" t="s">
        <v>564</v>
      </c>
      <c r="C192" s="6" t="s">
        <v>582</v>
      </c>
      <c r="D192" s="5" t="s">
        <v>583</v>
      </c>
      <c r="E192" s="5" t="s">
        <v>425</v>
      </c>
      <c r="F192" s="6" t="s">
        <v>29</v>
      </c>
      <c r="G192" s="6"/>
      <c r="H192" s="5" t="s">
        <v>584</v>
      </c>
      <c r="I192" s="12"/>
      <c r="J192" s="29" t="s">
        <v>33</v>
      </c>
      <c r="K192" s="29">
        <v>1</v>
      </c>
      <c r="L192" s="29"/>
      <c r="M192" s="25" t="s">
        <v>585</v>
      </c>
      <c r="N192" s="15" t="s">
        <v>29</v>
      </c>
      <c r="O192" s="30" t="s">
        <v>586</v>
      </c>
    </row>
    <row r="193" spans="1:15" ht="155.1">
      <c r="A193" s="6">
        <v>20</v>
      </c>
      <c r="B193" s="6" t="s">
        <v>564</v>
      </c>
      <c r="C193" s="6" t="s">
        <v>582</v>
      </c>
      <c r="D193" s="5" t="s">
        <v>587</v>
      </c>
      <c r="E193" s="5" t="s">
        <v>425</v>
      </c>
      <c r="F193" s="6" t="s">
        <v>29</v>
      </c>
      <c r="G193" s="6"/>
      <c r="H193" s="5" t="s">
        <v>588</v>
      </c>
      <c r="I193" s="12"/>
      <c r="J193" s="29" t="s">
        <v>33</v>
      </c>
      <c r="K193" s="29">
        <v>1</v>
      </c>
      <c r="L193" s="29"/>
      <c r="M193" s="25" t="s">
        <v>585</v>
      </c>
      <c r="N193" s="15" t="s">
        <v>29</v>
      </c>
      <c r="O193" s="30" t="s">
        <v>586</v>
      </c>
    </row>
    <row r="194" spans="1:15" ht="139.5">
      <c r="A194" s="6">
        <v>20</v>
      </c>
      <c r="B194" s="6" t="s">
        <v>564</v>
      </c>
      <c r="C194" s="6" t="s">
        <v>589</v>
      </c>
      <c r="D194" s="5" t="s">
        <v>590</v>
      </c>
      <c r="E194" s="5" t="s">
        <v>425</v>
      </c>
      <c r="F194" s="6" t="s">
        <v>29</v>
      </c>
      <c r="G194" s="6"/>
      <c r="H194" s="5" t="s">
        <v>56</v>
      </c>
      <c r="I194" s="12"/>
      <c r="J194" s="29" t="s">
        <v>33</v>
      </c>
      <c r="K194" s="29">
        <v>1</v>
      </c>
      <c r="L194" s="29"/>
      <c r="M194" s="25" t="s">
        <v>585</v>
      </c>
      <c r="N194" s="15" t="s">
        <v>29</v>
      </c>
      <c r="O194" s="30" t="s">
        <v>586</v>
      </c>
    </row>
    <row r="195" spans="1:15" ht="46.5">
      <c r="A195" s="6">
        <v>20</v>
      </c>
      <c r="B195" s="6" t="s">
        <v>564</v>
      </c>
      <c r="C195" s="6" t="s">
        <v>591</v>
      </c>
      <c r="D195" s="5" t="s">
        <v>592</v>
      </c>
      <c r="E195" s="5" t="s">
        <v>425</v>
      </c>
      <c r="F195" s="6" t="s">
        <v>29</v>
      </c>
      <c r="G195" s="6"/>
      <c r="H195" s="5" t="s">
        <v>56</v>
      </c>
      <c r="I195" s="12"/>
      <c r="J195" s="29" t="s">
        <v>33</v>
      </c>
      <c r="K195" s="29">
        <v>1</v>
      </c>
      <c r="L195" s="29"/>
      <c r="M195" s="25" t="s">
        <v>585</v>
      </c>
      <c r="N195" s="15" t="s">
        <v>29</v>
      </c>
      <c r="O195" s="30" t="s">
        <v>586</v>
      </c>
    </row>
    <row r="196" spans="1:15" ht="77.45">
      <c r="A196" s="6">
        <v>20</v>
      </c>
      <c r="B196" s="6" t="s">
        <v>564</v>
      </c>
      <c r="C196" s="6" t="s">
        <v>593</v>
      </c>
      <c r="D196" s="5" t="s">
        <v>594</v>
      </c>
      <c r="E196" s="5" t="s">
        <v>425</v>
      </c>
      <c r="F196" s="6" t="s">
        <v>29</v>
      </c>
      <c r="G196" s="6"/>
      <c r="H196" s="5" t="s">
        <v>56</v>
      </c>
      <c r="I196" s="12"/>
      <c r="J196" s="29" t="s">
        <v>33</v>
      </c>
      <c r="K196" s="29">
        <v>1</v>
      </c>
      <c r="L196" s="29"/>
      <c r="M196" s="25" t="s">
        <v>585</v>
      </c>
      <c r="N196" s="15" t="s">
        <v>29</v>
      </c>
      <c r="O196" s="30" t="s">
        <v>586</v>
      </c>
    </row>
    <row r="197" spans="1:15" ht="139.5">
      <c r="A197" s="6">
        <v>20</v>
      </c>
      <c r="B197" s="6" t="s">
        <v>564</v>
      </c>
      <c r="C197" s="6" t="s">
        <v>595</v>
      </c>
      <c r="D197" s="5" t="s">
        <v>596</v>
      </c>
      <c r="E197" s="5" t="s">
        <v>425</v>
      </c>
      <c r="F197" s="6" t="s">
        <v>29</v>
      </c>
      <c r="G197" s="6"/>
      <c r="H197" s="5" t="s">
        <v>56</v>
      </c>
      <c r="I197" s="12"/>
      <c r="J197" s="29" t="s">
        <v>33</v>
      </c>
      <c r="K197" s="29">
        <v>1</v>
      </c>
      <c r="L197" s="29"/>
      <c r="M197" s="25" t="s">
        <v>585</v>
      </c>
      <c r="N197" s="15" t="s">
        <v>29</v>
      </c>
      <c r="O197" s="30" t="s">
        <v>586</v>
      </c>
    </row>
    <row r="198" spans="1:15" ht="46.5">
      <c r="A198" s="50">
        <v>20</v>
      </c>
      <c r="B198" s="50" t="s">
        <v>564</v>
      </c>
      <c r="C198" s="50" t="s">
        <v>160</v>
      </c>
      <c r="D198" s="49" t="s">
        <v>597</v>
      </c>
      <c r="E198" s="49" t="s">
        <v>425</v>
      </c>
      <c r="F198" s="50" t="s">
        <v>557</v>
      </c>
      <c r="G198" s="50"/>
      <c r="H198" s="49" t="s">
        <v>598</v>
      </c>
      <c r="I198" s="51"/>
      <c r="J198" s="52" t="s">
        <v>33</v>
      </c>
      <c r="K198" s="52">
        <v>2</v>
      </c>
      <c r="L198" s="52"/>
      <c r="M198" s="53" t="s">
        <v>585</v>
      </c>
      <c r="N198" s="59" t="s">
        <v>18</v>
      </c>
      <c r="O198" s="54" t="s">
        <v>36</v>
      </c>
    </row>
    <row r="199" spans="1:15" ht="77.45">
      <c r="A199" s="6">
        <v>20</v>
      </c>
      <c r="B199" s="6" t="s">
        <v>564</v>
      </c>
      <c r="C199" s="6" t="s">
        <v>599</v>
      </c>
      <c r="D199" s="5" t="s">
        <v>600</v>
      </c>
      <c r="E199" s="5" t="s">
        <v>425</v>
      </c>
      <c r="F199" s="6" t="s">
        <v>557</v>
      </c>
      <c r="G199" s="6"/>
      <c r="H199" s="5" t="s">
        <v>601</v>
      </c>
      <c r="I199" s="12"/>
      <c r="J199" s="29" t="s">
        <v>33</v>
      </c>
      <c r="K199" s="29">
        <v>2</v>
      </c>
      <c r="L199" s="29"/>
      <c r="M199" s="25" t="s">
        <v>585</v>
      </c>
      <c r="N199" s="15" t="s">
        <v>29</v>
      </c>
      <c r="O199" s="30" t="s">
        <v>36</v>
      </c>
    </row>
    <row r="200" spans="1:15" ht="77.45">
      <c r="A200" s="6">
        <v>20</v>
      </c>
      <c r="B200" s="6" t="s">
        <v>564</v>
      </c>
      <c r="C200" s="6" t="s">
        <v>602</v>
      </c>
      <c r="D200" s="5" t="s">
        <v>603</v>
      </c>
      <c r="E200" s="5" t="s">
        <v>425</v>
      </c>
      <c r="F200" s="6" t="s">
        <v>557</v>
      </c>
      <c r="G200" s="6"/>
      <c r="H200" s="5" t="s">
        <v>601</v>
      </c>
      <c r="I200" s="12"/>
      <c r="J200" s="29" t="s">
        <v>33</v>
      </c>
      <c r="K200" s="29">
        <v>2</v>
      </c>
      <c r="L200" s="29"/>
      <c r="M200" s="25" t="s">
        <v>585</v>
      </c>
      <c r="N200" s="15" t="s">
        <v>29</v>
      </c>
      <c r="O200" s="30" t="s">
        <v>36</v>
      </c>
    </row>
    <row r="201" spans="1:15" s="70" customFormat="1" ht="46.5">
      <c r="A201" s="63">
        <v>20</v>
      </c>
      <c r="B201" s="63" t="s">
        <v>564</v>
      </c>
      <c r="C201" s="63" t="s">
        <v>604</v>
      </c>
      <c r="D201" s="64" t="s">
        <v>605</v>
      </c>
      <c r="E201" s="64" t="s">
        <v>61</v>
      </c>
      <c r="F201" s="63" t="s">
        <v>29</v>
      </c>
      <c r="G201" s="63"/>
      <c r="H201" s="64" t="s">
        <v>56</v>
      </c>
      <c r="I201" s="65"/>
      <c r="J201" s="66" t="s">
        <v>33</v>
      </c>
      <c r="K201" s="66">
        <v>1</v>
      </c>
      <c r="L201" s="66"/>
      <c r="M201" s="67" t="s">
        <v>585</v>
      </c>
      <c r="N201" s="68" t="s">
        <v>18</v>
      </c>
      <c r="O201" s="69" t="s">
        <v>18</v>
      </c>
    </row>
    <row r="202" spans="1:15" ht="93">
      <c r="A202" s="6">
        <v>20</v>
      </c>
      <c r="B202" s="6" t="s">
        <v>564</v>
      </c>
      <c r="C202" s="6" t="s">
        <v>606</v>
      </c>
      <c r="D202" s="5" t="s">
        <v>607</v>
      </c>
      <c r="E202" s="5" t="s">
        <v>61</v>
      </c>
      <c r="F202" s="6" t="s">
        <v>29</v>
      </c>
      <c r="G202" s="6"/>
      <c r="H202" s="5" t="s">
        <v>56</v>
      </c>
      <c r="I202" s="12"/>
      <c r="J202" s="29" t="s">
        <v>33</v>
      </c>
      <c r="K202" s="29">
        <v>1</v>
      </c>
      <c r="L202" s="29"/>
      <c r="M202" s="25" t="s">
        <v>585</v>
      </c>
      <c r="N202" s="15" t="s">
        <v>29</v>
      </c>
      <c r="O202" s="30" t="s">
        <v>18</v>
      </c>
    </row>
    <row r="203" spans="1:15" ht="77.45">
      <c r="A203" s="6">
        <v>20</v>
      </c>
      <c r="B203" s="6" t="s">
        <v>564</v>
      </c>
      <c r="C203" s="6" t="s">
        <v>608</v>
      </c>
      <c r="D203" s="5" t="s">
        <v>609</v>
      </c>
      <c r="E203" s="5" t="s">
        <v>61</v>
      </c>
      <c r="F203" s="6" t="s">
        <v>29</v>
      </c>
      <c r="G203" s="6"/>
      <c r="H203" s="5" t="s">
        <v>56</v>
      </c>
      <c r="I203" s="12"/>
      <c r="J203" s="29" t="s">
        <v>33</v>
      </c>
      <c r="K203" s="29">
        <v>1</v>
      </c>
      <c r="L203" s="29"/>
      <c r="M203" s="25" t="s">
        <v>585</v>
      </c>
      <c r="N203" s="15" t="s">
        <v>29</v>
      </c>
      <c r="O203" s="30" t="s">
        <v>18</v>
      </c>
    </row>
    <row r="204" spans="1:15" ht="77.45">
      <c r="A204" s="6">
        <v>21</v>
      </c>
      <c r="B204" s="6" t="s">
        <v>564</v>
      </c>
      <c r="C204" s="6" t="s">
        <v>610</v>
      </c>
      <c r="D204" s="5" t="s">
        <v>609</v>
      </c>
      <c r="E204" s="5" t="s">
        <v>61</v>
      </c>
      <c r="F204" s="6" t="s">
        <v>29</v>
      </c>
      <c r="G204" s="6"/>
      <c r="H204" s="5" t="s">
        <v>56</v>
      </c>
      <c r="I204" s="12"/>
      <c r="J204" s="29" t="s">
        <v>33</v>
      </c>
      <c r="K204" s="29">
        <v>1</v>
      </c>
      <c r="L204" s="29"/>
      <c r="M204" s="25" t="s">
        <v>585</v>
      </c>
      <c r="N204" s="15" t="s">
        <v>29</v>
      </c>
      <c r="O204" s="30" t="s">
        <v>18</v>
      </c>
    </row>
    <row r="205" spans="1:15" s="70" customFormat="1" ht="46.5">
      <c r="A205" s="63">
        <v>21</v>
      </c>
      <c r="B205" s="63" t="s">
        <v>564</v>
      </c>
      <c r="C205" s="63" t="s">
        <v>611</v>
      </c>
      <c r="D205" s="64" t="s">
        <v>612</v>
      </c>
      <c r="E205" s="64" t="s">
        <v>61</v>
      </c>
      <c r="F205" s="63" t="s">
        <v>29</v>
      </c>
      <c r="G205" s="63"/>
      <c r="H205" s="64" t="s">
        <v>56</v>
      </c>
      <c r="I205" s="65"/>
      <c r="J205" s="66" t="s">
        <v>33</v>
      </c>
      <c r="K205" s="66">
        <v>1</v>
      </c>
      <c r="L205" s="66"/>
      <c r="M205" s="67" t="s">
        <v>585</v>
      </c>
      <c r="N205" s="68" t="s">
        <v>18</v>
      </c>
      <c r="O205" s="69" t="s">
        <v>18</v>
      </c>
    </row>
    <row r="206" spans="1:15" ht="62.1">
      <c r="A206" s="6">
        <v>21</v>
      </c>
      <c r="B206" s="6" t="s">
        <v>564</v>
      </c>
      <c r="C206" s="6" t="s">
        <v>613</v>
      </c>
      <c r="D206" s="5" t="s">
        <v>614</v>
      </c>
      <c r="E206" s="5" t="s">
        <v>61</v>
      </c>
      <c r="F206" s="6" t="s">
        <v>29</v>
      </c>
      <c r="G206" s="6"/>
      <c r="H206" s="5" t="s">
        <v>56</v>
      </c>
      <c r="I206" s="12"/>
      <c r="J206" s="29" t="s">
        <v>33</v>
      </c>
      <c r="K206" s="29">
        <v>1</v>
      </c>
      <c r="L206" s="29"/>
      <c r="M206" s="25" t="s">
        <v>585</v>
      </c>
      <c r="N206" s="15" t="s">
        <v>29</v>
      </c>
      <c r="O206" s="30" t="s">
        <v>18</v>
      </c>
    </row>
    <row r="207" spans="1:15" ht="62.1">
      <c r="A207" s="6">
        <v>21</v>
      </c>
      <c r="B207" s="6" t="s">
        <v>564</v>
      </c>
      <c r="C207" s="6" t="s">
        <v>613</v>
      </c>
      <c r="D207" s="5" t="s">
        <v>615</v>
      </c>
      <c r="E207" s="5" t="s">
        <v>61</v>
      </c>
      <c r="F207" s="6" t="s">
        <v>29</v>
      </c>
      <c r="G207" s="6"/>
      <c r="H207" s="5" t="s">
        <v>56</v>
      </c>
      <c r="I207" s="12"/>
      <c r="J207" s="29" t="s">
        <v>33</v>
      </c>
      <c r="K207" s="29">
        <v>1</v>
      </c>
      <c r="L207" s="29"/>
      <c r="M207" s="25" t="s">
        <v>585</v>
      </c>
      <c r="N207" s="15" t="s">
        <v>29</v>
      </c>
      <c r="O207" s="30" t="s">
        <v>18</v>
      </c>
    </row>
    <row r="208" spans="1:15" s="70" customFormat="1" ht="46.5">
      <c r="A208" s="63">
        <v>21</v>
      </c>
      <c r="B208" s="63" t="s">
        <v>564</v>
      </c>
      <c r="C208" s="63" t="s">
        <v>616</v>
      </c>
      <c r="D208" s="64" t="s">
        <v>617</v>
      </c>
      <c r="E208" s="64" t="s">
        <v>61</v>
      </c>
      <c r="F208" s="63" t="s">
        <v>29</v>
      </c>
      <c r="G208" s="63"/>
      <c r="H208" s="64" t="s">
        <v>56</v>
      </c>
      <c r="I208" s="65"/>
      <c r="J208" s="66" t="s">
        <v>33</v>
      </c>
      <c r="K208" s="66">
        <v>1</v>
      </c>
      <c r="L208" s="66"/>
      <c r="M208" s="67" t="s">
        <v>585</v>
      </c>
      <c r="N208" s="68" t="s">
        <v>18</v>
      </c>
      <c r="O208" s="69" t="s">
        <v>18</v>
      </c>
    </row>
    <row r="209" spans="1:15" ht="62.1">
      <c r="A209" s="6">
        <v>21</v>
      </c>
      <c r="B209" s="6" t="s">
        <v>564</v>
      </c>
      <c r="C209" s="6" t="s">
        <v>618</v>
      </c>
      <c r="D209" s="5" t="s">
        <v>619</v>
      </c>
      <c r="E209" s="5" t="s">
        <v>61</v>
      </c>
      <c r="F209" s="6" t="s">
        <v>29</v>
      </c>
      <c r="G209" s="6"/>
      <c r="H209" s="5" t="s">
        <v>56</v>
      </c>
      <c r="I209" s="12"/>
      <c r="J209" s="29" t="s">
        <v>33</v>
      </c>
      <c r="K209" s="29">
        <v>1</v>
      </c>
      <c r="L209" s="29"/>
      <c r="M209" s="25" t="s">
        <v>585</v>
      </c>
      <c r="N209" s="15" t="s">
        <v>29</v>
      </c>
      <c r="O209" s="30" t="s">
        <v>18</v>
      </c>
    </row>
    <row r="210" spans="1:15" ht="77.45">
      <c r="A210" s="6">
        <v>21</v>
      </c>
      <c r="B210" s="6" t="s">
        <v>564</v>
      </c>
      <c r="C210" s="6" t="s">
        <v>620</v>
      </c>
      <c r="D210" s="5" t="s">
        <v>621</v>
      </c>
      <c r="E210" s="5" t="s">
        <v>61</v>
      </c>
      <c r="F210" s="6" t="s">
        <v>29</v>
      </c>
      <c r="G210" s="6"/>
      <c r="H210" s="5" t="s">
        <v>56</v>
      </c>
      <c r="I210" s="12"/>
      <c r="J210" s="29" t="s">
        <v>33</v>
      </c>
      <c r="K210" s="29">
        <v>1</v>
      </c>
      <c r="L210" s="29"/>
      <c r="M210" s="25" t="s">
        <v>585</v>
      </c>
      <c r="N210" s="15" t="s">
        <v>29</v>
      </c>
      <c r="O210" s="30" t="s">
        <v>18</v>
      </c>
    </row>
    <row r="211" spans="1:15" ht="62.1">
      <c r="A211" s="6">
        <v>21</v>
      </c>
      <c r="B211" s="6" t="s">
        <v>564</v>
      </c>
      <c r="C211" s="6" t="s">
        <v>622</v>
      </c>
      <c r="D211" s="5" t="s">
        <v>623</v>
      </c>
      <c r="E211" s="5" t="s">
        <v>39</v>
      </c>
      <c r="F211" s="6" t="s">
        <v>29</v>
      </c>
      <c r="G211" s="6"/>
      <c r="H211" s="5" t="s">
        <v>624</v>
      </c>
      <c r="I211" s="12"/>
      <c r="J211" s="29" t="s">
        <v>33</v>
      </c>
      <c r="K211" s="29">
        <v>1</v>
      </c>
      <c r="L211" s="29"/>
      <c r="M211" s="25" t="s">
        <v>101</v>
      </c>
      <c r="N211" s="15" t="s">
        <v>29</v>
      </c>
      <c r="O211" s="30" t="s">
        <v>18</v>
      </c>
    </row>
    <row r="212" spans="1:15" ht="77.45">
      <c r="A212" s="6">
        <v>21</v>
      </c>
      <c r="B212" s="6" t="s">
        <v>564</v>
      </c>
      <c r="C212" s="6" t="s">
        <v>625</v>
      </c>
      <c r="D212" s="5" t="s">
        <v>626</v>
      </c>
      <c r="E212" s="5" t="s">
        <v>39</v>
      </c>
      <c r="F212" s="6" t="s">
        <v>29</v>
      </c>
      <c r="G212" s="6"/>
      <c r="H212" s="5" t="s">
        <v>627</v>
      </c>
      <c r="I212" s="12"/>
      <c r="J212" s="29" t="s">
        <v>33</v>
      </c>
      <c r="K212" s="29">
        <v>1</v>
      </c>
      <c r="L212" s="29"/>
      <c r="M212" s="25" t="s">
        <v>101</v>
      </c>
      <c r="N212" s="15" t="s">
        <v>29</v>
      </c>
      <c r="O212" s="30" t="s">
        <v>18</v>
      </c>
    </row>
    <row r="213" spans="1:15" s="70" customFormat="1" ht="46.5">
      <c r="A213" s="63">
        <v>21</v>
      </c>
      <c r="B213" s="63" t="s">
        <v>564</v>
      </c>
      <c r="C213" s="63" t="s">
        <v>163</v>
      </c>
      <c r="D213" s="64" t="s">
        <v>628</v>
      </c>
      <c r="E213" s="71" t="s">
        <v>39</v>
      </c>
      <c r="F213" s="63" t="s">
        <v>29</v>
      </c>
      <c r="G213" s="63"/>
      <c r="H213" s="64" t="s">
        <v>629</v>
      </c>
      <c r="I213" s="65"/>
      <c r="J213" s="66" t="s">
        <v>33</v>
      </c>
      <c r="K213" s="66">
        <v>1</v>
      </c>
      <c r="L213" s="66"/>
      <c r="M213" s="67" t="s">
        <v>630</v>
      </c>
      <c r="N213" s="68" t="s">
        <v>18</v>
      </c>
      <c r="O213" s="69" t="s">
        <v>18</v>
      </c>
    </row>
    <row r="214" spans="1:15" ht="62.1">
      <c r="A214" s="6">
        <v>21</v>
      </c>
      <c r="B214" s="6" t="s">
        <v>564</v>
      </c>
      <c r="C214" s="6" t="s">
        <v>631</v>
      </c>
      <c r="D214" s="5" t="s">
        <v>632</v>
      </c>
      <c r="E214" s="35" t="s">
        <v>39</v>
      </c>
      <c r="F214" s="6" t="s">
        <v>29</v>
      </c>
      <c r="G214" s="6"/>
      <c r="H214" s="5" t="s">
        <v>633</v>
      </c>
      <c r="I214" s="12"/>
      <c r="J214" s="29" t="s">
        <v>33</v>
      </c>
      <c r="K214" s="29">
        <v>1</v>
      </c>
      <c r="L214" s="29"/>
      <c r="M214" s="25" t="s">
        <v>630</v>
      </c>
      <c r="N214" s="15" t="s">
        <v>29</v>
      </c>
      <c r="O214" s="30" t="s">
        <v>18</v>
      </c>
    </row>
    <row r="215" spans="1:15" ht="62.1">
      <c r="A215" s="6">
        <v>21</v>
      </c>
      <c r="B215" s="6" t="s">
        <v>564</v>
      </c>
      <c r="C215" s="6" t="s">
        <v>634</v>
      </c>
      <c r="D215" s="5" t="s">
        <v>635</v>
      </c>
      <c r="E215" s="35" t="s">
        <v>39</v>
      </c>
      <c r="F215" s="6" t="s">
        <v>29</v>
      </c>
      <c r="G215" s="6"/>
      <c r="H215" s="5" t="s">
        <v>56</v>
      </c>
      <c r="I215" s="12"/>
      <c r="J215" s="29" t="s">
        <v>33</v>
      </c>
      <c r="K215" s="29">
        <v>1</v>
      </c>
      <c r="L215" s="29"/>
      <c r="M215" s="25" t="s">
        <v>630</v>
      </c>
      <c r="N215" s="15" t="s">
        <v>29</v>
      </c>
      <c r="O215" s="30" t="s">
        <v>18</v>
      </c>
    </row>
    <row r="216" spans="1:15" ht="62.1">
      <c r="A216" s="6">
        <v>21</v>
      </c>
      <c r="B216" s="6" t="s">
        <v>564</v>
      </c>
      <c r="C216" s="6" t="s">
        <v>636</v>
      </c>
      <c r="D216" s="5" t="s">
        <v>637</v>
      </c>
      <c r="E216" s="35" t="s">
        <v>39</v>
      </c>
      <c r="F216" s="6" t="s">
        <v>29</v>
      </c>
      <c r="G216" s="6"/>
      <c r="H216" s="5" t="s">
        <v>638</v>
      </c>
      <c r="I216" s="12"/>
      <c r="J216" s="29" t="s">
        <v>33</v>
      </c>
      <c r="K216" s="29">
        <v>1</v>
      </c>
      <c r="L216" s="29"/>
      <c r="M216" s="25" t="s">
        <v>630</v>
      </c>
      <c r="N216" s="15" t="s">
        <v>29</v>
      </c>
      <c r="O216" s="30" t="s">
        <v>18</v>
      </c>
    </row>
    <row r="217" spans="1:15" s="70" customFormat="1" ht="46.5">
      <c r="A217" s="63">
        <v>21</v>
      </c>
      <c r="B217" s="63" t="s">
        <v>564</v>
      </c>
      <c r="C217" s="63" t="s">
        <v>166</v>
      </c>
      <c r="D217" s="64" t="s">
        <v>639</v>
      </c>
      <c r="E217" s="71" t="s">
        <v>39</v>
      </c>
      <c r="F217" s="63" t="s">
        <v>29</v>
      </c>
      <c r="G217" s="63"/>
      <c r="H217" s="64" t="s">
        <v>640</v>
      </c>
      <c r="I217" s="65"/>
      <c r="J217" s="66" t="s">
        <v>33</v>
      </c>
      <c r="K217" s="66">
        <v>1</v>
      </c>
      <c r="L217" s="66"/>
      <c r="M217" s="67" t="s">
        <v>630</v>
      </c>
      <c r="N217" s="68" t="s">
        <v>18</v>
      </c>
      <c r="O217" s="69" t="s">
        <v>18</v>
      </c>
    </row>
    <row r="218" spans="1:15" ht="46.5">
      <c r="A218" s="6">
        <v>21</v>
      </c>
      <c r="B218" s="6" t="s">
        <v>564</v>
      </c>
      <c r="C218" s="6" t="s">
        <v>641</v>
      </c>
      <c r="D218" s="5" t="s">
        <v>642</v>
      </c>
      <c r="E218" s="35" t="s">
        <v>39</v>
      </c>
      <c r="F218" s="6" t="s">
        <v>29</v>
      </c>
      <c r="G218" s="6"/>
      <c r="H218" s="5" t="s">
        <v>633</v>
      </c>
      <c r="I218" s="12"/>
      <c r="J218" s="29" t="s">
        <v>33</v>
      </c>
      <c r="K218" s="29">
        <v>1</v>
      </c>
      <c r="L218" s="29"/>
      <c r="M218" s="25" t="s">
        <v>630</v>
      </c>
      <c r="N218" s="15" t="s">
        <v>29</v>
      </c>
      <c r="O218" s="30" t="s">
        <v>18</v>
      </c>
    </row>
    <row r="219" spans="1:15" ht="46.5">
      <c r="A219" s="6">
        <v>21</v>
      </c>
      <c r="B219" s="6" t="s">
        <v>564</v>
      </c>
      <c r="C219" s="6" t="s">
        <v>643</v>
      </c>
      <c r="D219" s="5" t="s">
        <v>644</v>
      </c>
      <c r="E219" s="35" t="s">
        <v>39</v>
      </c>
      <c r="F219" s="6" t="s">
        <v>29</v>
      </c>
      <c r="G219" s="6"/>
      <c r="H219" s="5" t="s">
        <v>56</v>
      </c>
      <c r="I219" s="12"/>
      <c r="J219" s="29" t="s">
        <v>33</v>
      </c>
      <c r="K219" s="29">
        <v>1</v>
      </c>
      <c r="L219" s="29"/>
      <c r="M219" s="25" t="s">
        <v>630</v>
      </c>
      <c r="N219" s="15" t="s">
        <v>29</v>
      </c>
      <c r="O219" s="30" t="s">
        <v>18</v>
      </c>
    </row>
    <row r="220" spans="1:15" ht="46.5">
      <c r="A220" s="6">
        <v>21</v>
      </c>
      <c r="B220" s="6" t="s">
        <v>564</v>
      </c>
      <c r="C220" s="6" t="s">
        <v>645</v>
      </c>
      <c r="D220" s="5" t="s">
        <v>646</v>
      </c>
      <c r="E220" s="35" t="s">
        <v>39</v>
      </c>
      <c r="F220" s="6" t="s">
        <v>29</v>
      </c>
      <c r="G220" s="6"/>
      <c r="H220" s="5" t="s">
        <v>56</v>
      </c>
      <c r="I220" s="12"/>
      <c r="J220" s="29" t="s">
        <v>33</v>
      </c>
      <c r="K220" s="29">
        <v>1</v>
      </c>
      <c r="L220" s="29"/>
      <c r="M220" s="25" t="s">
        <v>630</v>
      </c>
      <c r="N220" s="15" t="s">
        <v>29</v>
      </c>
      <c r="O220" s="30" t="s">
        <v>18</v>
      </c>
    </row>
    <row r="221" spans="1:15" ht="46.5">
      <c r="A221" s="6">
        <v>21</v>
      </c>
      <c r="B221" s="6" t="s">
        <v>564</v>
      </c>
      <c r="C221" s="6" t="s">
        <v>647</v>
      </c>
      <c r="D221" s="5" t="s">
        <v>648</v>
      </c>
      <c r="E221" s="5" t="s">
        <v>39</v>
      </c>
      <c r="F221" s="6" t="s">
        <v>29</v>
      </c>
      <c r="G221" s="6"/>
      <c r="H221" s="5" t="s">
        <v>649</v>
      </c>
      <c r="I221" s="12"/>
      <c r="J221" s="29" t="s">
        <v>33</v>
      </c>
      <c r="K221" s="29">
        <v>1</v>
      </c>
      <c r="L221" s="29"/>
      <c r="M221" s="25" t="s">
        <v>101</v>
      </c>
      <c r="N221" s="15" t="s">
        <v>29</v>
      </c>
      <c r="O221" s="30" t="s">
        <v>18</v>
      </c>
    </row>
    <row r="222" spans="1:15" s="70" customFormat="1" ht="46.5">
      <c r="A222" s="63">
        <v>21</v>
      </c>
      <c r="B222" s="63" t="s">
        <v>564</v>
      </c>
      <c r="C222" s="63" t="s">
        <v>650</v>
      </c>
      <c r="D222" s="64" t="s">
        <v>651</v>
      </c>
      <c r="E222" s="71" t="s">
        <v>39</v>
      </c>
      <c r="F222" s="72" t="s">
        <v>29</v>
      </c>
      <c r="G222" s="72"/>
      <c r="H222" s="64" t="s">
        <v>652</v>
      </c>
      <c r="I222" s="65"/>
      <c r="J222" s="66" t="s">
        <v>33</v>
      </c>
      <c r="K222" s="66">
        <v>1</v>
      </c>
      <c r="L222" s="66"/>
      <c r="M222" s="67" t="s">
        <v>653</v>
      </c>
      <c r="N222" s="68" t="s">
        <v>18</v>
      </c>
      <c r="O222" s="69" t="s">
        <v>18</v>
      </c>
    </row>
    <row r="223" spans="1:15" ht="123.95">
      <c r="A223" s="6">
        <v>21</v>
      </c>
      <c r="B223" s="6" t="s">
        <v>564</v>
      </c>
      <c r="C223" s="6" t="s">
        <v>654</v>
      </c>
      <c r="D223" s="5" t="s">
        <v>655</v>
      </c>
      <c r="E223" s="35" t="s">
        <v>39</v>
      </c>
      <c r="F223" s="34" t="s">
        <v>29</v>
      </c>
      <c r="G223" s="34"/>
      <c r="H223" s="5" t="s">
        <v>656</v>
      </c>
      <c r="I223" s="12"/>
      <c r="J223" s="29" t="s">
        <v>33</v>
      </c>
      <c r="K223" s="29">
        <v>1</v>
      </c>
      <c r="L223" s="29"/>
      <c r="M223" s="25" t="s">
        <v>653</v>
      </c>
      <c r="N223" s="15" t="s">
        <v>29</v>
      </c>
      <c r="O223" s="30" t="s">
        <v>18</v>
      </c>
    </row>
    <row r="224" spans="1:15" ht="123.95">
      <c r="A224" s="6">
        <v>22</v>
      </c>
      <c r="B224" s="6" t="s">
        <v>564</v>
      </c>
      <c r="C224" s="6" t="s">
        <v>657</v>
      </c>
      <c r="D224" s="5" t="s">
        <v>658</v>
      </c>
      <c r="E224" s="35" t="s">
        <v>39</v>
      </c>
      <c r="F224" s="34" t="s">
        <v>29</v>
      </c>
      <c r="G224" s="34"/>
      <c r="H224" s="5" t="s">
        <v>659</v>
      </c>
      <c r="I224" s="12"/>
      <c r="J224" s="29" t="s">
        <v>33</v>
      </c>
      <c r="K224" s="29">
        <v>1</v>
      </c>
      <c r="L224" s="29"/>
      <c r="M224" s="25" t="s">
        <v>653</v>
      </c>
      <c r="N224" s="15" t="s">
        <v>29</v>
      </c>
      <c r="O224" s="30" t="s">
        <v>18</v>
      </c>
    </row>
    <row r="225" spans="1:15" s="70" customFormat="1" ht="46.5">
      <c r="A225" s="63">
        <v>22</v>
      </c>
      <c r="B225" s="63" t="s">
        <v>564</v>
      </c>
      <c r="C225" s="63" t="s">
        <v>660</v>
      </c>
      <c r="D225" s="64" t="s">
        <v>661</v>
      </c>
      <c r="E225" s="71" t="s">
        <v>39</v>
      </c>
      <c r="F225" s="72" t="s">
        <v>29</v>
      </c>
      <c r="G225" s="72"/>
      <c r="H225" s="64" t="s">
        <v>662</v>
      </c>
      <c r="I225" s="65"/>
      <c r="J225" s="66" t="s">
        <v>33</v>
      </c>
      <c r="K225" s="66">
        <v>1</v>
      </c>
      <c r="L225" s="66"/>
      <c r="M225" s="67" t="s">
        <v>653</v>
      </c>
      <c r="N225" s="68" t="s">
        <v>18</v>
      </c>
      <c r="O225" s="69" t="s">
        <v>18</v>
      </c>
    </row>
    <row r="226" spans="1:15" ht="123.95">
      <c r="A226" s="6">
        <v>22</v>
      </c>
      <c r="B226" s="6" t="s">
        <v>564</v>
      </c>
      <c r="C226" s="6" t="s">
        <v>663</v>
      </c>
      <c r="D226" s="5" t="s">
        <v>664</v>
      </c>
      <c r="E226" s="35" t="s">
        <v>39</v>
      </c>
      <c r="F226" s="34" t="s">
        <v>29</v>
      </c>
      <c r="G226" s="34"/>
      <c r="H226" s="5" t="s">
        <v>665</v>
      </c>
      <c r="I226" s="12"/>
      <c r="J226" s="29" t="s">
        <v>33</v>
      </c>
      <c r="K226" s="29">
        <v>1</v>
      </c>
      <c r="L226" s="29"/>
      <c r="M226" s="25" t="s">
        <v>653</v>
      </c>
      <c r="N226" s="15" t="s">
        <v>29</v>
      </c>
      <c r="O226" s="30" t="s">
        <v>18</v>
      </c>
    </row>
    <row r="227" spans="1:15" ht="123.95">
      <c r="A227" s="6">
        <v>22</v>
      </c>
      <c r="B227" s="6" t="s">
        <v>564</v>
      </c>
      <c r="C227" s="6" t="s">
        <v>666</v>
      </c>
      <c r="D227" s="5" t="s">
        <v>667</v>
      </c>
      <c r="E227" s="35" t="s">
        <v>39</v>
      </c>
      <c r="F227" s="34" t="s">
        <v>29</v>
      </c>
      <c r="G227" s="34"/>
      <c r="H227" s="5" t="s">
        <v>668</v>
      </c>
      <c r="I227" s="12"/>
      <c r="J227" s="29" t="s">
        <v>33</v>
      </c>
      <c r="K227" s="29">
        <v>1</v>
      </c>
      <c r="L227" s="29"/>
      <c r="M227" s="25" t="s">
        <v>653</v>
      </c>
      <c r="N227" s="15" t="s">
        <v>29</v>
      </c>
      <c r="O227" s="30" t="s">
        <v>18</v>
      </c>
    </row>
    <row r="228" spans="1:15" ht="123.95">
      <c r="A228" s="6">
        <v>22</v>
      </c>
      <c r="B228" s="6" t="s">
        <v>564</v>
      </c>
      <c r="C228" s="6" t="s">
        <v>669</v>
      </c>
      <c r="D228" s="5" t="s">
        <v>670</v>
      </c>
      <c r="E228" s="35" t="s">
        <v>39</v>
      </c>
      <c r="F228" s="34" t="s">
        <v>29</v>
      </c>
      <c r="G228" s="34"/>
      <c r="H228" s="5" t="s">
        <v>671</v>
      </c>
      <c r="I228" s="12"/>
      <c r="J228" s="29" t="s">
        <v>33</v>
      </c>
      <c r="K228" s="29">
        <v>1</v>
      </c>
      <c r="L228" s="29"/>
      <c r="M228" s="25" t="s">
        <v>653</v>
      </c>
      <c r="N228" s="15" t="s">
        <v>29</v>
      </c>
      <c r="O228" s="30" t="s">
        <v>18</v>
      </c>
    </row>
    <row r="229" spans="1:15" s="70" customFormat="1" ht="46.5">
      <c r="A229" s="63">
        <v>22</v>
      </c>
      <c r="B229" s="63" t="s">
        <v>564</v>
      </c>
      <c r="C229" s="63" t="s">
        <v>672</v>
      </c>
      <c r="D229" s="64" t="s">
        <v>673</v>
      </c>
      <c r="E229" s="64" t="s">
        <v>425</v>
      </c>
      <c r="F229" s="72" t="s">
        <v>29</v>
      </c>
      <c r="G229" s="72"/>
      <c r="H229" s="64" t="s">
        <v>674</v>
      </c>
      <c r="I229" s="65"/>
      <c r="J229" s="66" t="s">
        <v>33</v>
      </c>
      <c r="K229" s="66">
        <v>1</v>
      </c>
      <c r="L229" s="66"/>
      <c r="M229" s="67" t="s">
        <v>675</v>
      </c>
      <c r="N229" s="68" t="s">
        <v>18</v>
      </c>
      <c r="O229" s="69" t="s">
        <v>18</v>
      </c>
    </row>
    <row r="230" spans="1:15" ht="139.5">
      <c r="A230" s="6">
        <v>22</v>
      </c>
      <c r="B230" s="6" t="s">
        <v>564</v>
      </c>
      <c r="C230" s="6" t="s">
        <v>676</v>
      </c>
      <c r="D230" s="5" t="s">
        <v>677</v>
      </c>
      <c r="E230" s="5" t="s">
        <v>425</v>
      </c>
      <c r="F230" s="34" t="s">
        <v>29</v>
      </c>
      <c r="G230" s="34"/>
      <c r="H230" s="5" t="s">
        <v>678</v>
      </c>
      <c r="I230" s="12"/>
      <c r="J230" s="29" t="s">
        <v>33</v>
      </c>
      <c r="K230" s="29">
        <v>1</v>
      </c>
      <c r="L230" s="29"/>
      <c r="M230" s="25" t="s">
        <v>675</v>
      </c>
      <c r="N230" s="15" t="s">
        <v>29</v>
      </c>
      <c r="O230" s="30" t="s">
        <v>18</v>
      </c>
    </row>
    <row r="231" spans="1:15" ht="139.5">
      <c r="A231" s="6">
        <v>22</v>
      </c>
      <c r="B231" s="6" t="s">
        <v>564</v>
      </c>
      <c r="C231" s="6" t="s">
        <v>679</v>
      </c>
      <c r="D231" s="5" t="s">
        <v>680</v>
      </c>
      <c r="E231" s="5" t="s">
        <v>425</v>
      </c>
      <c r="F231" s="34" t="s">
        <v>29</v>
      </c>
      <c r="G231" s="34"/>
      <c r="H231" s="5" t="s">
        <v>681</v>
      </c>
      <c r="I231" s="12"/>
      <c r="J231" s="29" t="s">
        <v>33</v>
      </c>
      <c r="K231" s="29">
        <v>1</v>
      </c>
      <c r="L231" s="29"/>
      <c r="M231" s="25" t="s">
        <v>675</v>
      </c>
      <c r="N231" s="15" t="s">
        <v>29</v>
      </c>
      <c r="O231" s="30" t="s">
        <v>18</v>
      </c>
    </row>
    <row r="232" spans="1:15" ht="93">
      <c r="A232" s="6">
        <v>22</v>
      </c>
      <c r="B232" s="6" t="s">
        <v>564</v>
      </c>
      <c r="C232" s="6" t="s">
        <v>169</v>
      </c>
      <c r="D232" s="5" t="s">
        <v>682</v>
      </c>
      <c r="E232" s="5" t="s">
        <v>61</v>
      </c>
      <c r="F232" s="6" t="s">
        <v>29</v>
      </c>
      <c r="G232" s="6"/>
      <c r="H232" s="5" t="s">
        <v>683</v>
      </c>
      <c r="I232" s="12"/>
      <c r="J232" s="29" t="s">
        <v>46</v>
      </c>
      <c r="K232" s="29">
        <v>1</v>
      </c>
      <c r="L232" s="29"/>
      <c r="M232" s="25" t="s">
        <v>585</v>
      </c>
      <c r="N232" s="15" t="s">
        <v>29</v>
      </c>
      <c r="O232" s="30" t="s">
        <v>18</v>
      </c>
    </row>
    <row r="233" spans="1:15" ht="77.45">
      <c r="A233" s="6">
        <v>22</v>
      </c>
      <c r="B233" s="6" t="s">
        <v>564</v>
      </c>
      <c r="C233" s="6" t="s">
        <v>172</v>
      </c>
      <c r="D233" s="5" t="s">
        <v>684</v>
      </c>
      <c r="E233" s="5" t="s">
        <v>61</v>
      </c>
      <c r="F233" s="6" t="s">
        <v>29</v>
      </c>
      <c r="G233" s="6"/>
      <c r="H233" s="5" t="s">
        <v>685</v>
      </c>
      <c r="I233" s="12"/>
      <c r="J233" s="29" t="s">
        <v>46</v>
      </c>
      <c r="K233" s="29">
        <v>1</v>
      </c>
      <c r="L233" s="29"/>
      <c r="M233" s="25" t="s">
        <v>585</v>
      </c>
      <c r="N233" s="15" t="s">
        <v>29</v>
      </c>
      <c r="O233" s="30" t="s">
        <v>18</v>
      </c>
    </row>
    <row r="234" spans="1:15" ht="62.1">
      <c r="A234" s="6">
        <v>22</v>
      </c>
      <c r="B234" s="6" t="s">
        <v>564</v>
      </c>
      <c r="C234" s="6" t="s">
        <v>175</v>
      </c>
      <c r="D234" s="5" t="s">
        <v>686</v>
      </c>
      <c r="E234" s="5" t="s">
        <v>61</v>
      </c>
      <c r="F234" s="6" t="s">
        <v>29</v>
      </c>
      <c r="G234" s="6"/>
      <c r="H234" s="5" t="s">
        <v>56</v>
      </c>
      <c r="I234" s="12"/>
      <c r="J234" s="29" t="s">
        <v>46</v>
      </c>
      <c r="K234" s="29">
        <v>1</v>
      </c>
      <c r="L234" s="29"/>
      <c r="M234" s="25" t="s">
        <v>687</v>
      </c>
      <c r="N234" s="15" t="s">
        <v>29</v>
      </c>
      <c r="O234" s="30" t="s">
        <v>18</v>
      </c>
    </row>
    <row r="235" spans="1:15" ht="62.1">
      <c r="A235" s="6">
        <v>22</v>
      </c>
      <c r="B235" s="6" t="s">
        <v>564</v>
      </c>
      <c r="C235" s="6" t="s">
        <v>688</v>
      </c>
      <c r="D235" s="5" t="s">
        <v>689</v>
      </c>
      <c r="E235" s="5" t="s">
        <v>61</v>
      </c>
      <c r="F235" s="34" t="s">
        <v>29</v>
      </c>
      <c r="G235" s="34"/>
      <c r="H235" s="5" t="s">
        <v>690</v>
      </c>
      <c r="I235" s="12"/>
      <c r="J235" s="29" t="s">
        <v>46</v>
      </c>
      <c r="K235" s="29">
        <v>1</v>
      </c>
      <c r="L235" s="29"/>
      <c r="M235" s="25" t="s">
        <v>691</v>
      </c>
      <c r="N235" s="15" t="s">
        <v>29</v>
      </c>
      <c r="O235" s="30" t="s">
        <v>18</v>
      </c>
    </row>
    <row r="236" spans="1:15" ht="77.45">
      <c r="A236" s="50">
        <v>22</v>
      </c>
      <c r="B236" s="50" t="s">
        <v>564</v>
      </c>
      <c r="C236" s="50" t="s">
        <v>692</v>
      </c>
      <c r="D236" s="49" t="s">
        <v>693</v>
      </c>
      <c r="E236" s="49" t="s">
        <v>61</v>
      </c>
      <c r="F236" s="50" t="s">
        <v>21</v>
      </c>
      <c r="G236" s="50"/>
      <c r="H236" s="49" t="s">
        <v>694</v>
      </c>
      <c r="I236" s="51"/>
      <c r="J236" s="52" t="s">
        <v>33</v>
      </c>
      <c r="K236" s="52">
        <v>2</v>
      </c>
      <c r="L236" s="52"/>
      <c r="M236" s="53" t="s">
        <v>567</v>
      </c>
      <c r="N236" s="59" t="s">
        <v>18</v>
      </c>
      <c r="O236" s="54" t="s">
        <v>568</v>
      </c>
    </row>
    <row r="237" spans="1:15" ht="93">
      <c r="A237" s="6">
        <v>22</v>
      </c>
      <c r="B237" s="6" t="s">
        <v>564</v>
      </c>
      <c r="C237" s="6" t="s">
        <v>695</v>
      </c>
      <c r="D237" s="5" t="s">
        <v>696</v>
      </c>
      <c r="E237" s="5" t="s">
        <v>61</v>
      </c>
      <c r="F237" s="6" t="s">
        <v>29</v>
      </c>
      <c r="G237" s="6"/>
      <c r="H237" s="5" t="s">
        <v>697</v>
      </c>
      <c r="I237" s="12"/>
      <c r="J237" s="29" t="s">
        <v>33</v>
      </c>
      <c r="K237" s="29">
        <v>2</v>
      </c>
      <c r="L237" s="29"/>
      <c r="M237" s="25" t="s">
        <v>567</v>
      </c>
      <c r="N237" s="15" t="s">
        <v>29</v>
      </c>
      <c r="O237" s="30" t="s">
        <v>568</v>
      </c>
    </row>
    <row r="238" spans="1:15" ht="30.95">
      <c r="A238" s="6">
        <v>22</v>
      </c>
      <c r="B238" s="6" t="s">
        <v>564</v>
      </c>
      <c r="C238" s="6" t="s">
        <v>698</v>
      </c>
      <c r="D238" s="5" t="s">
        <v>699</v>
      </c>
      <c r="E238" s="5" t="s">
        <v>61</v>
      </c>
      <c r="F238" s="6" t="s">
        <v>29</v>
      </c>
      <c r="G238" s="6"/>
      <c r="H238" s="5" t="s">
        <v>56</v>
      </c>
      <c r="I238" s="12"/>
      <c r="J238" s="29" t="s">
        <v>46</v>
      </c>
      <c r="K238" s="29">
        <v>1</v>
      </c>
      <c r="L238" s="29"/>
      <c r="M238" s="25" t="s">
        <v>48</v>
      </c>
      <c r="N238" s="15" t="s">
        <v>29</v>
      </c>
      <c r="O238" s="30" t="s">
        <v>18</v>
      </c>
    </row>
    <row r="239" spans="1:15" ht="46.5">
      <c r="A239" s="6">
        <v>23</v>
      </c>
      <c r="B239" s="6" t="s">
        <v>564</v>
      </c>
      <c r="C239" s="6" t="s">
        <v>700</v>
      </c>
      <c r="D239" s="5" t="s">
        <v>701</v>
      </c>
      <c r="E239" s="5" t="s">
        <v>61</v>
      </c>
      <c r="F239" s="6" t="s">
        <v>29</v>
      </c>
      <c r="G239" s="6"/>
      <c r="H239" s="5" t="s">
        <v>56</v>
      </c>
      <c r="I239" s="12"/>
      <c r="J239" s="29" t="s">
        <v>46</v>
      </c>
      <c r="K239" s="29">
        <v>1</v>
      </c>
      <c r="L239" s="29"/>
      <c r="M239" s="25" t="s">
        <v>48</v>
      </c>
      <c r="N239" s="15" t="s">
        <v>29</v>
      </c>
      <c r="O239" s="30" t="s">
        <v>18</v>
      </c>
    </row>
    <row r="240" spans="1:15" ht="62.1">
      <c r="A240" s="6">
        <v>23</v>
      </c>
      <c r="B240" s="6" t="s">
        <v>564</v>
      </c>
      <c r="C240" s="6" t="s">
        <v>702</v>
      </c>
      <c r="D240" s="5" t="s">
        <v>703</v>
      </c>
      <c r="E240" s="5" t="s">
        <v>61</v>
      </c>
      <c r="F240" s="6" t="s">
        <v>29</v>
      </c>
      <c r="G240" s="6"/>
      <c r="H240" s="5" t="s">
        <v>56</v>
      </c>
      <c r="I240" s="12"/>
      <c r="J240" s="29" t="s">
        <v>46</v>
      </c>
      <c r="K240" s="29">
        <v>1</v>
      </c>
      <c r="L240" s="29"/>
      <c r="M240" s="25" t="s">
        <v>48</v>
      </c>
      <c r="N240" s="15" t="s">
        <v>29</v>
      </c>
      <c r="O240" s="30" t="s">
        <v>18</v>
      </c>
    </row>
    <row r="241" spans="1:15" ht="46.5">
      <c r="A241" s="6">
        <v>23</v>
      </c>
      <c r="B241" s="6" t="s">
        <v>564</v>
      </c>
      <c r="C241" s="6" t="s">
        <v>704</v>
      </c>
      <c r="D241" s="5" t="s">
        <v>705</v>
      </c>
      <c r="E241" s="5" t="s">
        <v>61</v>
      </c>
      <c r="F241" s="6" t="s">
        <v>29</v>
      </c>
      <c r="G241" s="6"/>
      <c r="H241" s="5" t="s">
        <v>56</v>
      </c>
      <c r="I241" s="12"/>
      <c r="J241" s="29" t="s">
        <v>46</v>
      </c>
      <c r="K241" s="29">
        <v>1</v>
      </c>
      <c r="L241" s="29"/>
      <c r="M241" s="25" t="s">
        <v>48</v>
      </c>
      <c r="N241" s="15" t="s">
        <v>29</v>
      </c>
      <c r="O241" s="30" t="s">
        <v>18</v>
      </c>
    </row>
    <row r="242" spans="1:15" ht="108.6">
      <c r="A242" s="6">
        <v>23</v>
      </c>
      <c r="B242" s="6" t="s">
        <v>564</v>
      </c>
      <c r="C242" s="6" t="s">
        <v>706</v>
      </c>
      <c r="D242" s="5" t="s">
        <v>707</v>
      </c>
      <c r="E242" s="5" t="s">
        <v>39</v>
      </c>
      <c r="F242" s="6" t="s">
        <v>21</v>
      </c>
      <c r="G242" s="6"/>
      <c r="H242" s="5" t="s">
        <v>708</v>
      </c>
      <c r="I242" s="12"/>
      <c r="J242" s="29" t="s">
        <v>33</v>
      </c>
      <c r="K242" s="29">
        <v>2</v>
      </c>
      <c r="L242" s="29"/>
      <c r="M242" s="25" t="s">
        <v>709</v>
      </c>
      <c r="N242" s="15" t="s">
        <v>29</v>
      </c>
      <c r="O242" s="30" t="s">
        <v>586</v>
      </c>
    </row>
    <row r="243" spans="1:15" ht="62.1">
      <c r="A243" s="50">
        <v>23</v>
      </c>
      <c r="B243" s="50" t="s">
        <v>564</v>
      </c>
      <c r="C243" s="50" t="s">
        <v>710</v>
      </c>
      <c r="D243" s="49" t="s">
        <v>711</v>
      </c>
      <c r="E243" s="49" t="s">
        <v>425</v>
      </c>
      <c r="F243" s="50" t="s">
        <v>21</v>
      </c>
      <c r="G243" s="50"/>
      <c r="H243" s="49" t="s">
        <v>712</v>
      </c>
      <c r="I243" s="51"/>
      <c r="J243" s="52" t="s">
        <v>33</v>
      </c>
      <c r="K243" s="52">
        <v>2</v>
      </c>
      <c r="L243" s="52"/>
      <c r="M243" s="53" t="s">
        <v>709</v>
      </c>
      <c r="N243" s="59" t="s">
        <v>18</v>
      </c>
      <c r="O243" s="54" t="s">
        <v>586</v>
      </c>
    </row>
    <row r="244" spans="1:15" ht="123.95">
      <c r="A244" s="6">
        <v>23</v>
      </c>
      <c r="B244" s="6" t="s">
        <v>564</v>
      </c>
      <c r="C244" s="6" t="s">
        <v>713</v>
      </c>
      <c r="D244" s="5" t="s">
        <v>714</v>
      </c>
      <c r="E244" s="5" t="s">
        <v>425</v>
      </c>
      <c r="F244" s="6" t="s">
        <v>29</v>
      </c>
      <c r="G244" s="6"/>
      <c r="H244" s="5" t="s">
        <v>715</v>
      </c>
      <c r="I244" s="12"/>
      <c r="J244" s="29" t="s">
        <v>46</v>
      </c>
      <c r="K244" s="29">
        <v>1</v>
      </c>
      <c r="L244" s="29"/>
      <c r="M244" s="25" t="s">
        <v>585</v>
      </c>
      <c r="N244" s="15" t="s">
        <v>29</v>
      </c>
      <c r="O244" s="30" t="s">
        <v>18</v>
      </c>
    </row>
    <row r="245" spans="1:15" ht="139.5">
      <c r="A245" s="6">
        <v>23</v>
      </c>
      <c r="B245" s="6" t="s">
        <v>564</v>
      </c>
      <c r="C245" s="6" t="s">
        <v>716</v>
      </c>
      <c r="D245" s="5" t="s">
        <v>717</v>
      </c>
      <c r="E245" s="5" t="s">
        <v>425</v>
      </c>
      <c r="F245" s="6" t="s">
        <v>29</v>
      </c>
      <c r="G245" s="6"/>
      <c r="H245" s="5" t="s">
        <v>718</v>
      </c>
      <c r="I245" s="12"/>
      <c r="J245" s="29" t="s">
        <v>46</v>
      </c>
      <c r="K245" s="29">
        <v>1</v>
      </c>
      <c r="L245" s="29"/>
      <c r="M245" s="25" t="s">
        <v>585</v>
      </c>
      <c r="N245" s="15" t="s">
        <v>29</v>
      </c>
      <c r="O245" s="30" t="s">
        <v>18</v>
      </c>
    </row>
    <row r="246" spans="1:15" ht="123.95">
      <c r="A246" s="6">
        <v>23</v>
      </c>
      <c r="B246" s="6" t="s">
        <v>564</v>
      </c>
      <c r="C246" s="6" t="s">
        <v>719</v>
      </c>
      <c r="D246" s="5" t="s">
        <v>720</v>
      </c>
      <c r="E246" s="5" t="s">
        <v>425</v>
      </c>
      <c r="F246" s="6" t="s">
        <v>29</v>
      </c>
      <c r="G246" s="6"/>
      <c r="H246" s="5" t="s">
        <v>715</v>
      </c>
      <c r="I246" s="12"/>
      <c r="J246" s="29" t="s">
        <v>46</v>
      </c>
      <c r="K246" s="29">
        <v>1</v>
      </c>
      <c r="L246" s="29"/>
      <c r="M246" s="25" t="s">
        <v>585</v>
      </c>
      <c r="N246" s="15" t="s">
        <v>29</v>
      </c>
      <c r="O246" s="30" t="s">
        <v>18</v>
      </c>
    </row>
    <row r="247" spans="1:15" ht="123.95">
      <c r="A247" s="6">
        <v>23</v>
      </c>
      <c r="B247" s="6" t="s">
        <v>564</v>
      </c>
      <c r="C247" s="6" t="s">
        <v>721</v>
      </c>
      <c r="D247" s="5" t="s">
        <v>722</v>
      </c>
      <c r="E247" s="5" t="s">
        <v>425</v>
      </c>
      <c r="F247" s="6" t="s">
        <v>29</v>
      </c>
      <c r="G247" s="6"/>
      <c r="H247" s="5" t="s">
        <v>715</v>
      </c>
      <c r="I247" s="12"/>
      <c r="J247" s="29" t="s">
        <v>46</v>
      </c>
      <c r="K247" s="29">
        <v>1</v>
      </c>
      <c r="L247" s="29"/>
      <c r="M247" s="25" t="s">
        <v>585</v>
      </c>
      <c r="N247" s="15" t="s">
        <v>29</v>
      </c>
      <c r="O247" s="30" t="s">
        <v>18</v>
      </c>
    </row>
    <row r="248" spans="1:15" ht="123.95">
      <c r="A248" s="6">
        <v>23</v>
      </c>
      <c r="B248" s="6" t="s">
        <v>564</v>
      </c>
      <c r="C248" s="6" t="s">
        <v>723</v>
      </c>
      <c r="D248" s="5" t="s">
        <v>724</v>
      </c>
      <c r="E248" s="5" t="s">
        <v>425</v>
      </c>
      <c r="F248" s="6" t="s">
        <v>29</v>
      </c>
      <c r="G248" s="6"/>
      <c r="H248" s="5" t="s">
        <v>715</v>
      </c>
      <c r="I248" s="12"/>
      <c r="J248" s="29" t="s">
        <v>46</v>
      </c>
      <c r="K248" s="29">
        <v>1</v>
      </c>
      <c r="L248" s="29"/>
      <c r="M248" s="25" t="s">
        <v>585</v>
      </c>
      <c r="N248" s="15" t="s">
        <v>29</v>
      </c>
      <c r="O248" s="30" t="s">
        <v>18</v>
      </c>
    </row>
    <row r="249" spans="1:15" ht="123.95">
      <c r="A249" s="6">
        <v>23</v>
      </c>
      <c r="B249" s="6" t="s">
        <v>564</v>
      </c>
      <c r="C249" s="6" t="s">
        <v>725</v>
      </c>
      <c r="D249" s="5" t="s">
        <v>726</v>
      </c>
      <c r="E249" s="5" t="s">
        <v>425</v>
      </c>
      <c r="F249" s="6" t="s">
        <v>29</v>
      </c>
      <c r="G249" s="6"/>
      <c r="H249" s="5" t="s">
        <v>715</v>
      </c>
      <c r="I249" s="12"/>
      <c r="J249" s="29" t="s">
        <v>46</v>
      </c>
      <c r="K249" s="29">
        <v>1</v>
      </c>
      <c r="L249" s="29"/>
      <c r="M249" s="25" t="s">
        <v>585</v>
      </c>
      <c r="N249" s="15" t="s">
        <v>29</v>
      </c>
      <c r="O249" s="30" t="s">
        <v>18</v>
      </c>
    </row>
    <row r="250" spans="1:15" ht="123.95">
      <c r="A250" s="6">
        <v>23</v>
      </c>
      <c r="B250" s="6" t="s">
        <v>564</v>
      </c>
      <c r="C250" s="6" t="s">
        <v>727</v>
      </c>
      <c r="D250" s="5" t="s">
        <v>728</v>
      </c>
      <c r="E250" s="5" t="s">
        <v>425</v>
      </c>
      <c r="F250" s="6" t="s">
        <v>29</v>
      </c>
      <c r="G250" s="6"/>
      <c r="H250" s="5" t="s">
        <v>715</v>
      </c>
      <c r="I250" s="12"/>
      <c r="J250" s="29" t="s">
        <v>46</v>
      </c>
      <c r="K250" s="29">
        <v>1</v>
      </c>
      <c r="L250" s="29"/>
      <c r="M250" s="25" t="s">
        <v>585</v>
      </c>
      <c r="N250" s="15" t="s">
        <v>29</v>
      </c>
      <c r="O250" s="30" t="s">
        <v>18</v>
      </c>
    </row>
    <row r="251" spans="1:15" ht="123.95">
      <c r="A251" s="6">
        <v>23</v>
      </c>
      <c r="B251" s="6" t="s">
        <v>564</v>
      </c>
      <c r="C251" s="6" t="s">
        <v>729</v>
      </c>
      <c r="D251" s="5" t="s">
        <v>730</v>
      </c>
      <c r="E251" s="5" t="s">
        <v>425</v>
      </c>
      <c r="F251" s="6" t="s">
        <v>29</v>
      </c>
      <c r="G251" s="6"/>
      <c r="H251" s="5" t="s">
        <v>715</v>
      </c>
      <c r="I251" s="12"/>
      <c r="J251" s="29" t="s">
        <v>46</v>
      </c>
      <c r="K251" s="29">
        <v>1</v>
      </c>
      <c r="L251" s="29"/>
      <c r="M251" s="25" t="s">
        <v>585</v>
      </c>
      <c r="N251" s="15" t="s">
        <v>29</v>
      </c>
      <c r="O251" s="30" t="s">
        <v>18</v>
      </c>
    </row>
    <row r="252" spans="1:15" ht="123.95">
      <c r="A252" s="6">
        <v>23</v>
      </c>
      <c r="B252" s="6" t="s">
        <v>564</v>
      </c>
      <c r="C252" s="6" t="s">
        <v>731</v>
      </c>
      <c r="D252" s="5" t="s">
        <v>732</v>
      </c>
      <c r="E252" s="5" t="s">
        <v>425</v>
      </c>
      <c r="F252" s="6" t="s">
        <v>29</v>
      </c>
      <c r="G252" s="6"/>
      <c r="H252" s="5" t="s">
        <v>715</v>
      </c>
      <c r="I252" s="12"/>
      <c r="J252" s="29" t="s">
        <v>46</v>
      </c>
      <c r="K252" s="29">
        <v>1</v>
      </c>
      <c r="L252" s="29"/>
      <c r="M252" s="25" t="s">
        <v>585</v>
      </c>
      <c r="N252" s="15" t="s">
        <v>29</v>
      </c>
      <c r="O252" s="30" t="s">
        <v>18</v>
      </c>
    </row>
    <row r="253" spans="1:15" ht="123.95">
      <c r="A253" s="6">
        <v>23</v>
      </c>
      <c r="B253" s="6" t="s">
        <v>564</v>
      </c>
      <c r="C253" s="6" t="s">
        <v>733</v>
      </c>
      <c r="D253" s="5" t="s">
        <v>734</v>
      </c>
      <c r="E253" s="5" t="s">
        <v>425</v>
      </c>
      <c r="F253" s="6" t="s">
        <v>29</v>
      </c>
      <c r="G253" s="6"/>
      <c r="H253" s="5" t="s">
        <v>715</v>
      </c>
      <c r="I253" s="12"/>
      <c r="J253" s="29" t="s">
        <v>46</v>
      </c>
      <c r="K253" s="29">
        <v>1</v>
      </c>
      <c r="L253" s="29"/>
      <c r="M253" s="25" t="s">
        <v>585</v>
      </c>
      <c r="N253" s="15" t="s">
        <v>29</v>
      </c>
      <c r="O253" s="30" t="s">
        <v>18</v>
      </c>
    </row>
    <row r="254" spans="1:15" ht="123.95">
      <c r="A254" s="6">
        <v>23</v>
      </c>
      <c r="B254" s="6" t="s">
        <v>564</v>
      </c>
      <c r="C254" s="6" t="s">
        <v>735</v>
      </c>
      <c r="D254" s="5" t="s">
        <v>736</v>
      </c>
      <c r="E254" s="5" t="s">
        <v>425</v>
      </c>
      <c r="F254" s="6" t="s">
        <v>29</v>
      </c>
      <c r="G254" s="6"/>
      <c r="H254" s="5" t="s">
        <v>715</v>
      </c>
      <c r="I254" s="12"/>
      <c r="J254" s="29" t="s">
        <v>46</v>
      </c>
      <c r="K254" s="29">
        <v>1</v>
      </c>
      <c r="L254" s="29"/>
      <c r="M254" s="25" t="s">
        <v>585</v>
      </c>
      <c r="N254" s="15" t="s">
        <v>29</v>
      </c>
      <c r="O254" s="30" t="s">
        <v>18</v>
      </c>
    </row>
    <row r="255" spans="1:15" ht="123.95">
      <c r="A255" s="6">
        <v>23</v>
      </c>
      <c r="B255" s="6" t="s">
        <v>564</v>
      </c>
      <c r="C255" s="6" t="s">
        <v>737</v>
      </c>
      <c r="D255" s="5" t="s">
        <v>738</v>
      </c>
      <c r="E255" s="5" t="s">
        <v>425</v>
      </c>
      <c r="F255" s="6" t="s">
        <v>29</v>
      </c>
      <c r="G255" s="6"/>
      <c r="H255" s="5" t="s">
        <v>715</v>
      </c>
      <c r="I255" s="12"/>
      <c r="J255" s="29" t="s">
        <v>46</v>
      </c>
      <c r="K255" s="29">
        <v>1</v>
      </c>
      <c r="L255" s="29"/>
      <c r="M255" s="25" t="s">
        <v>585</v>
      </c>
      <c r="N255" s="15" t="s">
        <v>29</v>
      </c>
      <c r="O255" s="30" t="s">
        <v>18</v>
      </c>
    </row>
    <row r="256" spans="1:15" ht="123.95">
      <c r="A256" s="6">
        <v>23</v>
      </c>
      <c r="B256" s="6" t="s">
        <v>564</v>
      </c>
      <c r="C256" s="6" t="s">
        <v>739</v>
      </c>
      <c r="D256" s="5" t="s">
        <v>740</v>
      </c>
      <c r="E256" s="5" t="s">
        <v>425</v>
      </c>
      <c r="F256" s="6" t="s">
        <v>29</v>
      </c>
      <c r="G256" s="6"/>
      <c r="H256" s="5" t="s">
        <v>715</v>
      </c>
      <c r="I256" s="12"/>
      <c r="J256" s="29" t="s">
        <v>46</v>
      </c>
      <c r="K256" s="29">
        <v>1</v>
      </c>
      <c r="L256" s="29"/>
      <c r="M256" s="25" t="s">
        <v>585</v>
      </c>
      <c r="N256" s="15" t="s">
        <v>29</v>
      </c>
      <c r="O256" s="30" t="s">
        <v>18</v>
      </c>
    </row>
    <row r="257" spans="1:15" ht="123.95">
      <c r="A257" s="6">
        <v>23</v>
      </c>
      <c r="B257" s="6" t="s">
        <v>564</v>
      </c>
      <c r="C257" s="6" t="s">
        <v>741</v>
      </c>
      <c r="D257" s="5" t="s">
        <v>742</v>
      </c>
      <c r="E257" s="5" t="s">
        <v>425</v>
      </c>
      <c r="F257" s="6" t="s">
        <v>29</v>
      </c>
      <c r="G257" s="6"/>
      <c r="H257" s="5" t="s">
        <v>715</v>
      </c>
      <c r="I257" s="12"/>
      <c r="J257" s="29" t="s">
        <v>46</v>
      </c>
      <c r="K257" s="29">
        <v>1</v>
      </c>
      <c r="L257" s="29"/>
      <c r="M257" s="25" t="s">
        <v>585</v>
      </c>
      <c r="N257" s="15" t="s">
        <v>29</v>
      </c>
      <c r="O257" s="30" t="s">
        <v>18</v>
      </c>
    </row>
    <row r="258" spans="1:15" ht="123.95">
      <c r="A258" s="6">
        <v>24</v>
      </c>
      <c r="B258" s="6" t="s">
        <v>564</v>
      </c>
      <c r="C258" s="6" t="s">
        <v>743</v>
      </c>
      <c r="D258" s="5" t="s">
        <v>744</v>
      </c>
      <c r="E258" s="5" t="s">
        <v>425</v>
      </c>
      <c r="F258" s="6" t="s">
        <v>29</v>
      </c>
      <c r="G258" s="6"/>
      <c r="H258" s="5" t="s">
        <v>715</v>
      </c>
      <c r="I258" s="12"/>
      <c r="J258" s="29" t="s">
        <v>46</v>
      </c>
      <c r="K258" s="29">
        <v>1</v>
      </c>
      <c r="L258" s="29"/>
      <c r="M258" s="25" t="s">
        <v>585</v>
      </c>
      <c r="N258" s="15" t="s">
        <v>29</v>
      </c>
      <c r="O258" s="30" t="s">
        <v>18</v>
      </c>
    </row>
    <row r="259" spans="1:15" ht="123.95">
      <c r="A259" s="6">
        <v>24</v>
      </c>
      <c r="B259" s="6" t="s">
        <v>564</v>
      </c>
      <c r="C259" s="6" t="s">
        <v>745</v>
      </c>
      <c r="D259" s="5" t="s">
        <v>746</v>
      </c>
      <c r="E259" s="5" t="s">
        <v>425</v>
      </c>
      <c r="F259" s="6" t="s">
        <v>29</v>
      </c>
      <c r="G259" s="6"/>
      <c r="H259" s="5" t="s">
        <v>715</v>
      </c>
      <c r="I259" s="12"/>
      <c r="J259" s="29" t="s">
        <v>46</v>
      </c>
      <c r="K259" s="29">
        <v>1</v>
      </c>
      <c r="L259" s="29"/>
      <c r="M259" s="25" t="s">
        <v>585</v>
      </c>
      <c r="N259" s="15" t="s">
        <v>29</v>
      </c>
      <c r="O259" s="30" t="s">
        <v>18</v>
      </c>
    </row>
    <row r="260" spans="1:15" ht="93">
      <c r="A260" s="6">
        <v>24</v>
      </c>
      <c r="B260" s="6" t="s">
        <v>564</v>
      </c>
      <c r="C260" s="6" t="s">
        <v>747</v>
      </c>
      <c r="D260" s="5" t="s">
        <v>748</v>
      </c>
      <c r="E260" s="5" t="s">
        <v>425</v>
      </c>
      <c r="F260" s="6" t="s">
        <v>29</v>
      </c>
      <c r="G260" s="6"/>
      <c r="H260" s="5" t="s">
        <v>749</v>
      </c>
      <c r="I260" s="12"/>
      <c r="J260" s="29" t="s">
        <v>46</v>
      </c>
      <c r="K260" s="29">
        <v>1</v>
      </c>
      <c r="L260" s="29"/>
      <c r="M260" s="25" t="s">
        <v>585</v>
      </c>
      <c r="N260" s="15" t="s">
        <v>29</v>
      </c>
      <c r="O260" s="30" t="s">
        <v>18</v>
      </c>
    </row>
    <row r="261" spans="1:15" ht="108.6">
      <c r="A261" s="6">
        <v>24</v>
      </c>
      <c r="B261" s="6" t="s">
        <v>564</v>
      </c>
      <c r="C261" s="6" t="s">
        <v>750</v>
      </c>
      <c r="D261" s="5" t="s">
        <v>751</v>
      </c>
      <c r="E261" s="5" t="s">
        <v>425</v>
      </c>
      <c r="F261" s="6" t="s">
        <v>29</v>
      </c>
      <c r="G261" s="6"/>
      <c r="H261" s="5" t="s">
        <v>752</v>
      </c>
      <c r="I261" s="12"/>
      <c r="J261" s="29" t="s">
        <v>46</v>
      </c>
      <c r="K261" s="29">
        <v>1</v>
      </c>
      <c r="L261" s="29"/>
      <c r="M261" s="25" t="s">
        <v>585</v>
      </c>
      <c r="N261" s="15" t="s">
        <v>29</v>
      </c>
      <c r="O261" s="30" t="s">
        <v>18</v>
      </c>
    </row>
    <row r="262" spans="1:15" ht="108.6">
      <c r="A262" s="6">
        <v>24</v>
      </c>
      <c r="B262" s="6" t="s">
        <v>564</v>
      </c>
      <c r="C262" s="6" t="s">
        <v>753</v>
      </c>
      <c r="D262" s="5" t="s">
        <v>754</v>
      </c>
      <c r="E262" s="5" t="s">
        <v>39</v>
      </c>
      <c r="F262" s="6" t="s">
        <v>21</v>
      </c>
      <c r="G262" s="6"/>
      <c r="H262" s="5" t="s">
        <v>708</v>
      </c>
      <c r="I262" s="12"/>
      <c r="J262" s="29" t="s">
        <v>33</v>
      </c>
      <c r="K262" s="29">
        <v>2</v>
      </c>
      <c r="L262" s="29"/>
      <c r="M262" s="25" t="s">
        <v>709</v>
      </c>
      <c r="N262" s="15" t="s">
        <v>29</v>
      </c>
      <c r="O262" s="30" t="s">
        <v>586</v>
      </c>
    </row>
    <row r="263" spans="1:15" ht="46.5">
      <c r="A263" s="50">
        <v>24</v>
      </c>
      <c r="B263" s="50" t="s">
        <v>564</v>
      </c>
      <c r="C263" s="50" t="s">
        <v>565</v>
      </c>
      <c r="D263" s="49" t="s">
        <v>755</v>
      </c>
      <c r="E263" s="49" t="s">
        <v>425</v>
      </c>
      <c r="F263" s="50" t="s">
        <v>29</v>
      </c>
      <c r="G263" s="50"/>
      <c r="H263" s="49" t="s">
        <v>756</v>
      </c>
      <c r="I263" s="51"/>
      <c r="J263" s="52" t="s">
        <v>46</v>
      </c>
      <c r="K263" s="52">
        <v>1</v>
      </c>
      <c r="L263" s="52"/>
      <c r="M263" s="53" t="s">
        <v>585</v>
      </c>
      <c r="N263" s="59" t="s">
        <v>18</v>
      </c>
      <c r="O263" s="54" t="s">
        <v>18</v>
      </c>
    </row>
    <row r="264" spans="1:15" ht="77.45">
      <c r="A264" s="6">
        <v>24</v>
      </c>
      <c r="B264" s="6" t="s">
        <v>564</v>
      </c>
      <c r="C264" s="6" t="s">
        <v>757</v>
      </c>
      <c r="D264" s="5" t="s">
        <v>758</v>
      </c>
      <c r="E264" s="5" t="s">
        <v>425</v>
      </c>
      <c r="F264" s="6" t="s">
        <v>29</v>
      </c>
      <c r="G264" s="6"/>
      <c r="H264" s="5" t="s">
        <v>759</v>
      </c>
      <c r="I264" s="12"/>
      <c r="J264" s="29" t="s">
        <v>46</v>
      </c>
      <c r="K264" s="29">
        <v>1</v>
      </c>
      <c r="L264" s="29"/>
      <c r="M264" s="25" t="s">
        <v>585</v>
      </c>
      <c r="N264" s="59" t="s">
        <v>29</v>
      </c>
      <c r="O264" s="30" t="s">
        <v>18</v>
      </c>
    </row>
    <row r="265" spans="1:15" ht="77.45">
      <c r="A265" s="6">
        <v>24</v>
      </c>
      <c r="B265" s="6" t="s">
        <v>564</v>
      </c>
      <c r="C265" s="6" t="s">
        <v>757</v>
      </c>
      <c r="D265" s="5" t="s">
        <v>760</v>
      </c>
      <c r="E265" s="5" t="s">
        <v>425</v>
      </c>
      <c r="F265" s="6" t="s">
        <v>29</v>
      </c>
      <c r="G265" s="6"/>
      <c r="H265" s="5" t="s">
        <v>759</v>
      </c>
      <c r="I265" s="12"/>
      <c r="J265" s="29" t="s">
        <v>46</v>
      </c>
      <c r="K265" s="29">
        <v>1</v>
      </c>
      <c r="L265" s="29"/>
      <c r="M265" s="25" t="s">
        <v>585</v>
      </c>
      <c r="N265" s="59" t="s">
        <v>29</v>
      </c>
      <c r="O265" s="30" t="s">
        <v>18</v>
      </c>
    </row>
    <row r="266" spans="1:15" ht="77.45">
      <c r="A266" s="6">
        <v>24</v>
      </c>
      <c r="B266" s="6" t="s">
        <v>564</v>
      </c>
      <c r="C266" s="6" t="s">
        <v>761</v>
      </c>
      <c r="D266" s="5" t="s">
        <v>762</v>
      </c>
      <c r="E266" s="5" t="s">
        <v>425</v>
      </c>
      <c r="F266" s="6" t="s">
        <v>29</v>
      </c>
      <c r="G266" s="6"/>
      <c r="H266" s="5" t="s">
        <v>759</v>
      </c>
      <c r="I266" s="12"/>
      <c r="J266" s="29" t="s">
        <v>46</v>
      </c>
      <c r="K266" s="29">
        <v>1</v>
      </c>
      <c r="L266" s="29"/>
      <c r="M266" s="25" t="s">
        <v>585</v>
      </c>
      <c r="N266" s="59" t="s">
        <v>29</v>
      </c>
      <c r="O266" s="30" t="s">
        <v>18</v>
      </c>
    </row>
    <row r="267" spans="1:15" ht="30.95">
      <c r="A267" s="50">
        <v>24</v>
      </c>
      <c r="B267" s="50" t="s">
        <v>564</v>
      </c>
      <c r="C267" s="50" t="s">
        <v>569</v>
      </c>
      <c r="D267" s="49" t="s">
        <v>763</v>
      </c>
      <c r="E267" s="49" t="s">
        <v>39</v>
      </c>
      <c r="F267" s="50" t="s">
        <v>29</v>
      </c>
      <c r="G267" s="50"/>
      <c r="H267" s="49" t="s">
        <v>764</v>
      </c>
      <c r="I267" s="51"/>
      <c r="J267" s="52" t="s">
        <v>33</v>
      </c>
      <c r="K267" s="52">
        <v>1</v>
      </c>
      <c r="L267" s="52"/>
      <c r="M267" s="53" t="s">
        <v>101</v>
      </c>
      <c r="N267" s="59" t="s">
        <v>18</v>
      </c>
      <c r="O267" s="54" t="s">
        <v>586</v>
      </c>
    </row>
    <row r="268" spans="1:15" ht="108.6">
      <c r="A268" s="6">
        <v>24</v>
      </c>
      <c r="B268" s="6" t="s">
        <v>564</v>
      </c>
      <c r="C268" s="6" t="s">
        <v>765</v>
      </c>
      <c r="D268" s="5" t="s">
        <v>766</v>
      </c>
      <c r="E268" s="5" t="s">
        <v>39</v>
      </c>
      <c r="F268" s="6" t="s">
        <v>29</v>
      </c>
      <c r="G268" s="6"/>
      <c r="H268" s="5" t="s">
        <v>56</v>
      </c>
      <c r="I268" s="12"/>
      <c r="J268" s="29" t="s">
        <v>33</v>
      </c>
      <c r="K268" s="29">
        <v>1</v>
      </c>
      <c r="L268" s="29"/>
      <c r="M268" s="25" t="s">
        <v>101</v>
      </c>
      <c r="N268" s="59" t="s">
        <v>29</v>
      </c>
      <c r="O268" s="30" t="s">
        <v>586</v>
      </c>
    </row>
    <row r="269" spans="1:15" ht="62.1">
      <c r="A269" s="6">
        <v>24</v>
      </c>
      <c r="B269" s="6" t="s">
        <v>564</v>
      </c>
      <c r="C269" s="6" t="s">
        <v>767</v>
      </c>
      <c r="D269" s="5" t="s">
        <v>768</v>
      </c>
      <c r="E269" s="5" t="s">
        <v>39</v>
      </c>
      <c r="F269" s="6" t="s">
        <v>29</v>
      </c>
      <c r="G269" s="6"/>
      <c r="H269" s="5" t="s">
        <v>769</v>
      </c>
      <c r="I269" s="12"/>
      <c r="J269" s="29" t="s">
        <v>33</v>
      </c>
      <c r="K269" s="29">
        <v>1</v>
      </c>
      <c r="L269" s="29"/>
      <c r="M269" s="25" t="s">
        <v>101</v>
      </c>
      <c r="N269" s="59" t="s">
        <v>29</v>
      </c>
      <c r="O269" s="30" t="s">
        <v>586</v>
      </c>
    </row>
    <row r="270" spans="1:15" ht="77.45">
      <c r="A270" s="6">
        <v>24</v>
      </c>
      <c r="B270" s="6" t="s">
        <v>564</v>
      </c>
      <c r="C270" s="6" t="s">
        <v>770</v>
      </c>
      <c r="D270" s="5" t="s">
        <v>771</v>
      </c>
      <c r="E270" s="5" t="s">
        <v>39</v>
      </c>
      <c r="F270" s="6" t="s">
        <v>29</v>
      </c>
      <c r="G270" s="6"/>
      <c r="H270" s="5" t="s">
        <v>769</v>
      </c>
      <c r="I270" s="12"/>
      <c r="J270" s="29" t="s">
        <v>33</v>
      </c>
      <c r="K270" s="29">
        <v>1</v>
      </c>
      <c r="L270" s="29"/>
      <c r="M270" s="25" t="s">
        <v>101</v>
      </c>
      <c r="N270" s="59" t="s">
        <v>29</v>
      </c>
      <c r="O270" s="30" t="s">
        <v>586</v>
      </c>
    </row>
    <row r="271" spans="1:15" ht="46.5">
      <c r="A271" s="6">
        <v>24</v>
      </c>
      <c r="B271" s="6" t="s">
        <v>564</v>
      </c>
      <c r="C271" s="6" t="s">
        <v>772</v>
      </c>
      <c r="D271" s="5" t="s">
        <v>773</v>
      </c>
      <c r="E271" s="5" t="s">
        <v>39</v>
      </c>
      <c r="F271" s="6" t="s">
        <v>29</v>
      </c>
      <c r="G271" s="6"/>
      <c r="H271" s="5" t="s">
        <v>769</v>
      </c>
      <c r="I271" s="12"/>
      <c r="J271" s="29" t="s">
        <v>33</v>
      </c>
      <c r="K271" s="29">
        <v>1</v>
      </c>
      <c r="L271" s="29"/>
      <c r="M271" s="25" t="s">
        <v>101</v>
      </c>
      <c r="N271" s="59" t="s">
        <v>29</v>
      </c>
      <c r="O271" s="30" t="s">
        <v>586</v>
      </c>
    </row>
    <row r="272" spans="1:15" ht="30.95">
      <c r="A272" s="6">
        <v>24</v>
      </c>
      <c r="B272" s="6" t="s">
        <v>564</v>
      </c>
      <c r="C272" s="6" t="s">
        <v>774</v>
      </c>
      <c r="D272" s="5" t="s">
        <v>775</v>
      </c>
      <c r="E272" s="5" t="s">
        <v>39</v>
      </c>
      <c r="F272" s="6" t="s">
        <v>29</v>
      </c>
      <c r="G272" s="6"/>
      <c r="H272" s="5" t="s">
        <v>769</v>
      </c>
      <c r="I272" s="12"/>
      <c r="J272" s="29" t="s">
        <v>33</v>
      </c>
      <c r="K272" s="29">
        <v>1</v>
      </c>
      <c r="L272" s="29"/>
      <c r="M272" s="25" t="s">
        <v>101</v>
      </c>
      <c r="N272" s="59" t="s">
        <v>29</v>
      </c>
      <c r="O272" s="30" t="s">
        <v>586</v>
      </c>
    </row>
    <row r="273" spans="1:15" ht="62.1">
      <c r="A273" s="6">
        <v>25</v>
      </c>
      <c r="B273" s="6" t="s">
        <v>564</v>
      </c>
      <c r="C273" s="6" t="s">
        <v>776</v>
      </c>
      <c r="D273" s="5" t="s">
        <v>777</v>
      </c>
      <c r="E273" s="5" t="s">
        <v>39</v>
      </c>
      <c r="F273" s="6" t="s">
        <v>29</v>
      </c>
      <c r="G273" s="6"/>
      <c r="H273" s="5" t="s">
        <v>769</v>
      </c>
      <c r="I273" s="12"/>
      <c r="J273" s="29" t="s">
        <v>33</v>
      </c>
      <c r="K273" s="29">
        <v>1</v>
      </c>
      <c r="L273" s="29"/>
      <c r="M273" s="25" t="s">
        <v>101</v>
      </c>
      <c r="N273" s="59" t="s">
        <v>29</v>
      </c>
      <c r="O273" s="30" t="s">
        <v>586</v>
      </c>
    </row>
    <row r="274" spans="1:15" ht="46.5">
      <c r="A274" s="6">
        <v>25</v>
      </c>
      <c r="B274" s="6" t="s">
        <v>564</v>
      </c>
      <c r="C274" s="6" t="s">
        <v>778</v>
      </c>
      <c r="D274" s="5" t="s">
        <v>779</v>
      </c>
      <c r="E274" s="5" t="s">
        <v>39</v>
      </c>
      <c r="F274" s="6" t="s">
        <v>29</v>
      </c>
      <c r="G274" s="6"/>
      <c r="H274" s="5" t="s">
        <v>769</v>
      </c>
      <c r="I274" s="12"/>
      <c r="J274" s="29" t="s">
        <v>33</v>
      </c>
      <c r="K274" s="29">
        <v>1</v>
      </c>
      <c r="L274" s="29"/>
      <c r="M274" s="25" t="s">
        <v>101</v>
      </c>
      <c r="N274" s="59" t="s">
        <v>29</v>
      </c>
      <c r="O274" s="30" t="s">
        <v>586</v>
      </c>
    </row>
    <row r="275" spans="1:15" ht="30.95">
      <c r="A275" s="6">
        <v>25</v>
      </c>
      <c r="B275" s="6" t="s">
        <v>564</v>
      </c>
      <c r="C275" s="6" t="s">
        <v>780</v>
      </c>
      <c r="D275" s="5" t="s">
        <v>781</v>
      </c>
      <c r="E275" s="5" t="s">
        <v>39</v>
      </c>
      <c r="F275" s="6" t="s">
        <v>29</v>
      </c>
      <c r="G275" s="6"/>
      <c r="H275" s="5" t="s">
        <v>769</v>
      </c>
      <c r="I275" s="12"/>
      <c r="J275" s="29" t="s">
        <v>33</v>
      </c>
      <c r="K275" s="29">
        <v>1</v>
      </c>
      <c r="L275" s="29"/>
      <c r="M275" s="25" t="s">
        <v>101</v>
      </c>
      <c r="N275" s="59" t="s">
        <v>29</v>
      </c>
      <c r="O275" s="30" t="s">
        <v>586</v>
      </c>
    </row>
    <row r="276" spans="1:15" ht="46.5">
      <c r="A276" s="6">
        <v>25</v>
      </c>
      <c r="B276" s="6" t="s">
        <v>564</v>
      </c>
      <c r="C276" s="6" t="s">
        <v>782</v>
      </c>
      <c r="D276" s="5" t="s">
        <v>783</v>
      </c>
      <c r="E276" s="35" t="s">
        <v>61</v>
      </c>
      <c r="F276" s="6" t="s">
        <v>29</v>
      </c>
      <c r="G276" s="6"/>
      <c r="H276" s="5" t="s">
        <v>56</v>
      </c>
      <c r="I276" s="12"/>
      <c r="J276" s="29" t="s">
        <v>33</v>
      </c>
      <c r="K276" s="29">
        <v>1</v>
      </c>
      <c r="L276" s="29"/>
      <c r="M276" s="25" t="s">
        <v>101</v>
      </c>
      <c r="N276" s="59" t="s">
        <v>29</v>
      </c>
      <c r="O276" s="30" t="s">
        <v>586</v>
      </c>
    </row>
    <row r="277" spans="1:15" s="62" customFormat="1" ht="30.95">
      <c r="A277" s="50">
        <v>25</v>
      </c>
      <c r="B277" s="50" t="s">
        <v>564</v>
      </c>
      <c r="C277" s="50" t="s">
        <v>575</v>
      </c>
      <c r="D277" s="49" t="s">
        <v>784</v>
      </c>
      <c r="E277" s="49" t="s">
        <v>61</v>
      </c>
      <c r="F277" s="50" t="s">
        <v>557</v>
      </c>
      <c r="G277" s="50"/>
      <c r="H277" s="49" t="s">
        <v>785</v>
      </c>
      <c r="I277" s="51"/>
      <c r="J277" s="52" t="s">
        <v>46</v>
      </c>
      <c r="K277" s="52">
        <v>1</v>
      </c>
      <c r="L277" s="52"/>
      <c r="M277" s="53" t="s">
        <v>48</v>
      </c>
      <c r="N277" s="59" t="s">
        <v>18</v>
      </c>
      <c r="O277" s="54" t="s">
        <v>18</v>
      </c>
    </row>
    <row r="278" spans="1:15" ht="62.1">
      <c r="A278" s="6">
        <v>25</v>
      </c>
      <c r="B278" s="6" t="s">
        <v>564</v>
      </c>
      <c r="C278" s="6" t="s">
        <v>82</v>
      </c>
      <c r="D278" s="5" t="s">
        <v>786</v>
      </c>
      <c r="E278" s="5" t="s">
        <v>61</v>
      </c>
      <c r="F278" s="34" t="s">
        <v>29</v>
      </c>
      <c r="G278" s="34"/>
      <c r="H278" s="5" t="s">
        <v>787</v>
      </c>
      <c r="I278" s="12"/>
      <c r="J278" s="29" t="s">
        <v>46</v>
      </c>
      <c r="K278" s="29">
        <v>1</v>
      </c>
      <c r="L278" s="29"/>
      <c r="M278" s="25" t="s">
        <v>691</v>
      </c>
      <c r="N278" s="15" t="s">
        <v>29</v>
      </c>
      <c r="O278" s="30" t="s">
        <v>36</v>
      </c>
    </row>
    <row r="279" spans="1:15" ht="62.1">
      <c r="A279" s="6">
        <v>25</v>
      </c>
      <c r="B279" s="6" t="s">
        <v>564</v>
      </c>
      <c r="C279" s="6" t="s">
        <v>788</v>
      </c>
      <c r="D279" s="5" t="s">
        <v>789</v>
      </c>
      <c r="E279" s="5" t="s">
        <v>61</v>
      </c>
      <c r="F279" s="6" t="s">
        <v>29</v>
      </c>
      <c r="G279" s="6"/>
      <c r="H279" s="5" t="s">
        <v>56</v>
      </c>
      <c r="I279" s="12"/>
      <c r="J279" s="29" t="s">
        <v>46</v>
      </c>
      <c r="K279" s="29">
        <v>1</v>
      </c>
      <c r="L279" s="29"/>
      <c r="M279" s="25" t="s">
        <v>48</v>
      </c>
      <c r="N279" s="15" t="s">
        <v>29</v>
      </c>
      <c r="O279" s="30" t="s">
        <v>18</v>
      </c>
    </row>
    <row r="280" spans="1:15" ht="46.5">
      <c r="A280" s="6">
        <v>25</v>
      </c>
      <c r="B280" s="6" t="s">
        <v>564</v>
      </c>
      <c r="C280" s="6" t="s">
        <v>87</v>
      </c>
      <c r="D280" s="5" t="s">
        <v>790</v>
      </c>
      <c r="E280" s="5" t="s">
        <v>61</v>
      </c>
      <c r="F280" s="6" t="s">
        <v>29</v>
      </c>
      <c r="G280" s="6"/>
      <c r="H280" s="5" t="s">
        <v>56</v>
      </c>
      <c r="I280" s="12"/>
      <c r="J280" s="29" t="s">
        <v>46</v>
      </c>
      <c r="K280" s="29">
        <v>1</v>
      </c>
      <c r="L280" s="29"/>
      <c r="M280" s="25" t="s">
        <v>48</v>
      </c>
      <c r="N280" s="15" t="s">
        <v>29</v>
      </c>
      <c r="O280" s="30" t="s">
        <v>18</v>
      </c>
    </row>
    <row r="281" spans="1:15" ht="93">
      <c r="A281" s="6">
        <v>25</v>
      </c>
      <c r="B281" s="6" t="s">
        <v>564</v>
      </c>
      <c r="C281" s="6" t="s">
        <v>98</v>
      </c>
      <c r="D281" s="5" t="s">
        <v>791</v>
      </c>
      <c r="E281" s="5" t="s">
        <v>61</v>
      </c>
      <c r="F281" s="6" t="s">
        <v>29</v>
      </c>
      <c r="G281" s="6"/>
      <c r="H281" s="5" t="s">
        <v>56</v>
      </c>
      <c r="I281" s="12"/>
      <c r="J281" s="29" t="s">
        <v>46</v>
      </c>
      <c r="K281" s="29">
        <v>1</v>
      </c>
      <c r="L281" s="29"/>
      <c r="M281" s="25" t="s">
        <v>48</v>
      </c>
      <c r="N281" s="15" t="s">
        <v>29</v>
      </c>
      <c r="O281" s="30" t="s">
        <v>586</v>
      </c>
    </row>
    <row r="282" spans="1:15" s="70" customFormat="1" ht="30.95">
      <c r="A282" s="63">
        <v>25</v>
      </c>
      <c r="B282" s="63" t="s">
        <v>564</v>
      </c>
      <c r="C282" s="63" t="s">
        <v>577</v>
      </c>
      <c r="D282" s="64" t="s">
        <v>792</v>
      </c>
      <c r="E282" s="64" t="s">
        <v>425</v>
      </c>
      <c r="F282" s="72" t="s">
        <v>29</v>
      </c>
      <c r="G282" s="72"/>
      <c r="H282" s="64" t="s">
        <v>793</v>
      </c>
      <c r="I282" s="65"/>
      <c r="J282" s="66" t="s">
        <v>33</v>
      </c>
      <c r="K282" s="66">
        <v>1</v>
      </c>
      <c r="L282" s="66"/>
      <c r="M282" s="67" t="s">
        <v>794</v>
      </c>
      <c r="N282" s="68" t="s">
        <v>18</v>
      </c>
      <c r="O282" s="69" t="s">
        <v>18</v>
      </c>
    </row>
    <row r="283" spans="1:15" ht="93">
      <c r="A283" s="6">
        <v>25</v>
      </c>
      <c r="B283" s="6" t="s">
        <v>564</v>
      </c>
      <c r="C283" s="6" t="s">
        <v>114</v>
      </c>
      <c r="D283" s="5" t="s">
        <v>795</v>
      </c>
      <c r="E283" s="5" t="s">
        <v>61</v>
      </c>
      <c r="F283" s="6" t="s">
        <v>29</v>
      </c>
      <c r="G283" s="6"/>
      <c r="H283" s="5" t="s">
        <v>796</v>
      </c>
      <c r="I283" s="12"/>
      <c r="J283" s="29" t="s">
        <v>46</v>
      </c>
      <c r="K283" s="29">
        <v>1</v>
      </c>
      <c r="L283" s="29"/>
      <c r="M283" s="25" t="s">
        <v>797</v>
      </c>
      <c r="N283" s="15" t="s">
        <v>29</v>
      </c>
      <c r="O283" s="30" t="s">
        <v>18</v>
      </c>
    </row>
    <row r="284" spans="1:15" ht="46.5">
      <c r="A284" s="6">
        <v>25</v>
      </c>
      <c r="B284" s="6" t="s">
        <v>564</v>
      </c>
      <c r="C284" s="6" t="s">
        <v>798</v>
      </c>
      <c r="D284" s="5" t="s">
        <v>799</v>
      </c>
      <c r="E284" s="5" t="s">
        <v>39</v>
      </c>
      <c r="F284" s="6" t="s">
        <v>29</v>
      </c>
      <c r="G284" s="6"/>
      <c r="H284" s="5" t="s">
        <v>800</v>
      </c>
      <c r="I284" s="12"/>
      <c r="J284" s="29" t="s">
        <v>33</v>
      </c>
      <c r="K284" s="29">
        <v>1</v>
      </c>
      <c r="L284" s="29"/>
      <c r="M284" s="25" t="s">
        <v>101</v>
      </c>
      <c r="N284" s="15" t="s">
        <v>29</v>
      </c>
      <c r="O284" s="30" t="s">
        <v>36</v>
      </c>
    </row>
    <row r="285" spans="1:15" ht="62.1">
      <c r="A285" s="6">
        <v>25</v>
      </c>
      <c r="B285" s="6" t="s">
        <v>564</v>
      </c>
      <c r="C285" s="6" t="s">
        <v>146</v>
      </c>
      <c r="D285" s="5" t="s">
        <v>801</v>
      </c>
      <c r="E285" s="5" t="s">
        <v>39</v>
      </c>
      <c r="F285" s="6" t="s">
        <v>29</v>
      </c>
      <c r="G285" s="6"/>
      <c r="H285" s="5" t="s">
        <v>56</v>
      </c>
      <c r="I285" s="12"/>
      <c r="J285" s="29" t="s">
        <v>46</v>
      </c>
      <c r="K285" s="29">
        <v>1</v>
      </c>
      <c r="L285" s="29"/>
      <c r="M285" s="25" t="s">
        <v>687</v>
      </c>
      <c r="N285" s="15" t="s">
        <v>29</v>
      </c>
      <c r="O285" s="30" t="s">
        <v>18</v>
      </c>
    </row>
    <row r="286" spans="1:15" ht="46.5">
      <c r="A286" s="6">
        <v>25</v>
      </c>
      <c r="B286" s="6" t="s">
        <v>564</v>
      </c>
      <c r="C286" s="6" t="s">
        <v>158</v>
      </c>
      <c r="D286" s="5" t="s">
        <v>802</v>
      </c>
      <c r="E286" s="5" t="s">
        <v>39</v>
      </c>
      <c r="F286" s="6" t="s">
        <v>29</v>
      </c>
      <c r="G286" s="6"/>
      <c r="H286" s="5" t="s">
        <v>56</v>
      </c>
      <c r="I286" s="12"/>
      <c r="J286" s="29" t="s">
        <v>46</v>
      </c>
      <c r="K286" s="29">
        <v>1</v>
      </c>
      <c r="L286" s="29"/>
      <c r="M286" s="25" t="s">
        <v>687</v>
      </c>
      <c r="N286" s="15" t="s">
        <v>29</v>
      </c>
      <c r="O286" s="30" t="s">
        <v>18</v>
      </c>
    </row>
    <row r="287" spans="1:15" ht="93">
      <c r="A287" s="6">
        <v>25</v>
      </c>
      <c r="B287" s="6" t="s">
        <v>564</v>
      </c>
      <c r="C287" s="6" t="s">
        <v>803</v>
      </c>
      <c r="D287" s="5" t="s">
        <v>804</v>
      </c>
      <c r="E287" s="5" t="s">
        <v>425</v>
      </c>
      <c r="F287" s="6" t="s">
        <v>116</v>
      </c>
      <c r="G287" s="6"/>
      <c r="H287" s="5" t="s">
        <v>805</v>
      </c>
      <c r="I287" s="12"/>
      <c r="J287" s="29" t="s">
        <v>33</v>
      </c>
      <c r="K287" s="29">
        <v>3</v>
      </c>
      <c r="L287" s="29"/>
      <c r="M287" s="25" t="s">
        <v>806</v>
      </c>
      <c r="N287" s="15" t="s">
        <v>807</v>
      </c>
      <c r="O287" s="30" t="s">
        <v>568</v>
      </c>
    </row>
    <row r="288" spans="1:15" ht="62.1">
      <c r="A288" s="6">
        <v>26</v>
      </c>
      <c r="B288" s="6" t="s">
        <v>564</v>
      </c>
      <c r="C288" s="6" t="s">
        <v>808</v>
      </c>
      <c r="D288" s="5" t="s">
        <v>809</v>
      </c>
      <c r="E288" s="5" t="s">
        <v>425</v>
      </c>
      <c r="F288" s="6" t="s">
        <v>116</v>
      </c>
      <c r="G288" s="6"/>
      <c r="H288" s="5" t="s">
        <v>805</v>
      </c>
      <c r="I288" s="12"/>
      <c r="J288" s="29" t="s">
        <v>33</v>
      </c>
      <c r="K288" s="29">
        <v>3</v>
      </c>
      <c r="L288" s="29"/>
      <c r="M288" s="25" t="s">
        <v>806</v>
      </c>
      <c r="N288" s="15" t="s">
        <v>29</v>
      </c>
      <c r="O288" s="30" t="s">
        <v>568</v>
      </c>
    </row>
    <row r="289" spans="1:15" ht="77.45">
      <c r="A289" s="6">
        <v>26</v>
      </c>
      <c r="B289" s="6" t="s">
        <v>564</v>
      </c>
      <c r="C289" s="6" t="s">
        <v>810</v>
      </c>
      <c r="D289" s="5" t="s">
        <v>811</v>
      </c>
      <c r="E289" s="5" t="s">
        <v>425</v>
      </c>
      <c r="F289" s="6" t="s">
        <v>29</v>
      </c>
      <c r="G289" s="6"/>
      <c r="H289" s="5" t="s">
        <v>56</v>
      </c>
      <c r="I289" s="12"/>
      <c r="J289" s="29" t="s">
        <v>46</v>
      </c>
      <c r="K289" s="29">
        <v>1</v>
      </c>
      <c r="L289" s="29"/>
      <c r="M289" s="25" t="s">
        <v>585</v>
      </c>
      <c r="N289" s="15" t="s">
        <v>29</v>
      </c>
      <c r="O289" s="30" t="s">
        <v>18</v>
      </c>
    </row>
    <row r="290" spans="1:15" ht="77.45">
      <c r="A290" s="6">
        <v>26</v>
      </c>
      <c r="B290" s="6" t="s">
        <v>564</v>
      </c>
      <c r="C290" s="6" t="s">
        <v>812</v>
      </c>
      <c r="D290" s="5" t="s">
        <v>813</v>
      </c>
      <c r="E290" s="5" t="s">
        <v>425</v>
      </c>
      <c r="F290" s="6" t="s">
        <v>29</v>
      </c>
      <c r="G290" s="6"/>
      <c r="H290" s="5" t="s">
        <v>56</v>
      </c>
      <c r="I290" s="12"/>
      <c r="J290" s="29" t="s">
        <v>46</v>
      </c>
      <c r="K290" s="29">
        <v>1</v>
      </c>
      <c r="L290" s="29"/>
      <c r="M290" s="25" t="s">
        <v>585</v>
      </c>
      <c r="N290" s="15" t="s">
        <v>29</v>
      </c>
      <c r="O290" s="30" t="s">
        <v>18</v>
      </c>
    </row>
    <row r="291" spans="1:15" ht="93">
      <c r="A291" s="6">
        <v>26</v>
      </c>
      <c r="B291" s="6" t="s">
        <v>564</v>
      </c>
      <c r="C291" s="6" t="s">
        <v>814</v>
      </c>
      <c r="D291" s="5" t="s">
        <v>815</v>
      </c>
      <c r="E291" s="5" t="s">
        <v>425</v>
      </c>
      <c r="F291" s="6" t="s">
        <v>557</v>
      </c>
      <c r="G291" s="6"/>
      <c r="H291" s="5" t="s">
        <v>601</v>
      </c>
      <c r="I291" s="12"/>
      <c r="J291" s="29" t="s">
        <v>33</v>
      </c>
      <c r="K291" s="29">
        <v>2</v>
      </c>
      <c r="L291" s="29"/>
      <c r="M291" s="25" t="s">
        <v>816</v>
      </c>
      <c r="N291" s="15" t="s">
        <v>29</v>
      </c>
      <c r="O291" s="30" t="s">
        <v>568</v>
      </c>
    </row>
    <row r="292" spans="1:15" ht="93">
      <c r="A292" s="6">
        <v>26</v>
      </c>
      <c r="B292" s="6" t="s">
        <v>564</v>
      </c>
      <c r="C292" s="6" t="s">
        <v>817</v>
      </c>
      <c r="D292" s="5" t="s">
        <v>818</v>
      </c>
      <c r="E292" s="5" t="s">
        <v>61</v>
      </c>
      <c r="F292" s="6" t="s">
        <v>29</v>
      </c>
      <c r="G292" s="6"/>
      <c r="H292" s="5" t="s">
        <v>56</v>
      </c>
      <c r="I292" s="12"/>
      <c r="J292" s="29" t="s">
        <v>46</v>
      </c>
      <c r="K292" s="29">
        <v>1</v>
      </c>
      <c r="L292" s="29"/>
      <c r="M292" s="25" t="s">
        <v>687</v>
      </c>
      <c r="N292" s="15" t="s">
        <v>29</v>
      </c>
      <c r="O292" s="30" t="s">
        <v>18</v>
      </c>
    </row>
    <row r="293" spans="1:15" ht="108.6">
      <c r="A293" s="6">
        <v>26</v>
      </c>
      <c r="B293" s="6" t="s">
        <v>564</v>
      </c>
      <c r="C293" s="6" t="s">
        <v>160</v>
      </c>
      <c r="D293" s="5" t="s">
        <v>819</v>
      </c>
      <c r="E293" s="5" t="s">
        <v>425</v>
      </c>
      <c r="F293" s="6" t="s">
        <v>29</v>
      </c>
      <c r="G293" s="6"/>
      <c r="H293" s="5" t="s">
        <v>820</v>
      </c>
      <c r="I293" s="12"/>
      <c r="J293" s="29" t="s">
        <v>33</v>
      </c>
      <c r="K293" s="29">
        <v>1</v>
      </c>
      <c r="L293" s="29"/>
      <c r="M293" s="25" t="s">
        <v>585</v>
      </c>
      <c r="N293" s="15" t="s">
        <v>29</v>
      </c>
      <c r="O293" s="30" t="s">
        <v>586</v>
      </c>
    </row>
    <row r="294" spans="1:15" ht="108.6">
      <c r="A294" s="6">
        <v>27</v>
      </c>
      <c r="B294" s="6" t="s">
        <v>564</v>
      </c>
      <c r="C294" s="6" t="s">
        <v>604</v>
      </c>
      <c r="D294" s="5" t="s">
        <v>821</v>
      </c>
      <c r="E294" s="5" t="s">
        <v>425</v>
      </c>
      <c r="F294" s="6" t="s">
        <v>29</v>
      </c>
      <c r="G294" s="6"/>
      <c r="H294" s="5" t="s">
        <v>820</v>
      </c>
      <c r="I294" s="12"/>
      <c r="J294" s="29" t="s">
        <v>33</v>
      </c>
      <c r="K294" s="29">
        <v>1</v>
      </c>
      <c r="L294" s="29"/>
      <c r="M294" s="25" t="s">
        <v>585</v>
      </c>
      <c r="N294" s="15" t="s">
        <v>29</v>
      </c>
      <c r="O294" s="30" t="s">
        <v>586</v>
      </c>
    </row>
    <row r="295" spans="1:15" ht="248.1">
      <c r="A295" s="6">
        <v>27</v>
      </c>
      <c r="B295" s="6" t="s">
        <v>564</v>
      </c>
      <c r="C295" s="6" t="s">
        <v>822</v>
      </c>
      <c r="D295" s="5" t="s">
        <v>823</v>
      </c>
      <c r="E295" s="5" t="s">
        <v>425</v>
      </c>
      <c r="F295" s="6" t="s">
        <v>29</v>
      </c>
      <c r="G295" s="6"/>
      <c r="H295" s="5" t="s">
        <v>820</v>
      </c>
      <c r="I295" s="12"/>
      <c r="J295" s="29" t="s">
        <v>33</v>
      </c>
      <c r="K295" s="29">
        <v>1</v>
      </c>
      <c r="L295" s="29"/>
      <c r="M295" s="25" t="s">
        <v>585</v>
      </c>
      <c r="N295" s="15" t="s">
        <v>29</v>
      </c>
      <c r="O295" s="30" t="s">
        <v>586</v>
      </c>
    </row>
    <row r="296" spans="1:15" s="70" customFormat="1" ht="30.95">
      <c r="A296" s="63">
        <v>27</v>
      </c>
      <c r="B296" s="63" t="s">
        <v>824</v>
      </c>
      <c r="C296" s="63" t="s">
        <v>163</v>
      </c>
      <c r="D296" s="64" t="s">
        <v>825</v>
      </c>
      <c r="E296" s="64" t="s">
        <v>61</v>
      </c>
      <c r="F296" s="63" t="s">
        <v>29</v>
      </c>
      <c r="G296" s="63"/>
      <c r="H296" s="64" t="s">
        <v>826</v>
      </c>
      <c r="I296" s="65"/>
      <c r="J296" s="66" t="s">
        <v>46</v>
      </c>
      <c r="K296" s="66">
        <v>1</v>
      </c>
      <c r="L296" s="66"/>
      <c r="M296" s="67" t="s">
        <v>48</v>
      </c>
      <c r="N296" s="68" t="s">
        <v>18</v>
      </c>
      <c r="O296" s="69" t="s">
        <v>18</v>
      </c>
    </row>
    <row r="297" spans="1:15" ht="46.5">
      <c r="A297" s="6">
        <v>27</v>
      </c>
      <c r="B297" s="6" t="s">
        <v>824</v>
      </c>
      <c r="C297" s="6" t="s">
        <v>631</v>
      </c>
      <c r="D297" s="5" t="s">
        <v>827</v>
      </c>
      <c r="E297" s="5" t="s">
        <v>61</v>
      </c>
      <c r="F297" s="6" t="s">
        <v>29</v>
      </c>
      <c r="G297" s="6"/>
      <c r="H297" s="5" t="s">
        <v>56</v>
      </c>
      <c r="I297" s="12"/>
      <c r="J297" s="29" t="s">
        <v>46</v>
      </c>
      <c r="K297" s="29">
        <v>1</v>
      </c>
      <c r="L297" s="29"/>
      <c r="M297" s="25" t="s">
        <v>48</v>
      </c>
      <c r="N297" s="15" t="s">
        <v>29</v>
      </c>
      <c r="O297" s="30" t="s">
        <v>18</v>
      </c>
    </row>
    <row r="298" spans="1:15" ht="30.95">
      <c r="A298" s="6">
        <v>27</v>
      </c>
      <c r="B298" s="6" t="s">
        <v>824</v>
      </c>
      <c r="C298" s="6" t="s">
        <v>634</v>
      </c>
      <c r="D298" s="5" t="s">
        <v>828</v>
      </c>
      <c r="E298" s="5" t="s">
        <v>61</v>
      </c>
      <c r="F298" s="6" t="s">
        <v>29</v>
      </c>
      <c r="G298" s="6"/>
      <c r="H298" s="5" t="s">
        <v>56</v>
      </c>
      <c r="I298" s="12"/>
      <c r="J298" s="29" t="s">
        <v>46</v>
      </c>
      <c r="K298" s="29">
        <v>1</v>
      </c>
      <c r="L298" s="29"/>
      <c r="M298" s="25" t="s">
        <v>48</v>
      </c>
      <c r="N298" s="15" t="s">
        <v>29</v>
      </c>
      <c r="O298" s="30" t="s">
        <v>18</v>
      </c>
    </row>
    <row r="299" spans="1:15" ht="30.95">
      <c r="A299" s="6">
        <v>28</v>
      </c>
      <c r="B299" s="6" t="s">
        <v>824</v>
      </c>
      <c r="C299" s="6" t="s">
        <v>636</v>
      </c>
      <c r="D299" s="5" t="s">
        <v>829</v>
      </c>
      <c r="E299" s="5" t="s">
        <v>61</v>
      </c>
      <c r="F299" s="6" t="s">
        <v>29</v>
      </c>
      <c r="G299" s="6"/>
      <c r="H299" s="5" t="s">
        <v>56</v>
      </c>
      <c r="I299" s="12"/>
      <c r="J299" s="29" t="s">
        <v>46</v>
      </c>
      <c r="K299" s="29">
        <v>1</v>
      </c>
      <c r="L299" s="29"/>
      <c r="M299" s="25" t="s">
        <v>48</v>
      </c>
      <c r="N299" s="15" t="s">
        <v>29</v>
      </c>
      <c r="O299" s="30" t="s">
        <v>18</v>
      </c>
    </row>
    <row r="300" spans="1:15" ht="30.95">
      <c r="A300" s="6">
        <v>28</v>
      </c>
      <c r="B300" s="6" t="s">
        <v>824</v>
      </c>
      <c r="C300" s="6" t="s">
        <v>830</v>
      </c>
      <c r="D300" s="5" t="s">
        <v>831</v>
      </c>
      <c r="E300" s="5" t="s">
        <v>61</v>
      </c>
      <c r="F300" s="6" t="s">
        <v>29</v>
      </c>
      <c r="G300" s="6"/>
      <c r="H300" s="5" t="s">
        <v>56</v>
      </c>
      <c r="I300" s="12"/>
      <c r="J300" s="29" t="s">
        <v>46</v>
      </c>
      <c r="K300" s="29">
        <v>1</v>
      </c>
      <c r="L300" s="29"/>
      <c r="M300" s="25" t="s">
        <v>48</v>
      </c>
      <c r="N300" s="15" t="s">
        <v>29</v>
      </c>
      <c r="O300" s="30" t="s">
        <v>18</v>
      </c>
    </row>
    <row r="301" spans="1:15" s="70" customFormat="1" ht="30.95">
      <c r="A301" s="63">
        <v>28</v>
      </c>
      <c r="B301" s="63" t="s">
        <v>824</v>
      </c>
      <c r="C301" s="63" t="s">
        <v>166</v>
      </c>
      <c r="D301" s="64" t="s">
        <v>832</v>
      </c>
      <c r="E301" s="64" t="s">
        <v>61</v>
      </c>
      <c r="F301" s="63" t="s">
        <v>29</v>
      </c>
      <c r="G301" s="63"/>
      <c r="H301" s="64" t="s">
        <v>833</v>
      </c>
      <c r="I301" s="65"/>
      <c r="J301" s="66" t="s">
        <v>46</v>
      </c>
      <c r="K301" s="66">
        <v>1</v>
      </c>
      <c r="L301" s="66"/>
      <c r="M301" s="67" t="s">
        <v>48</v>
      </c>
      <c r="N301" s="68" t="s">
        <v>18</v>
      </c>
      <c r="O301" s="69" t="s">
        <v>18</v>
      </c>
    </row>
    <row r="302" spans="1:15" ht="46.5">
      <c r="A302" s="6">
        <v>28</v>
      </c>
      <c r="B302" s="6" t="s">
        <v>824</v>
      </c>
      <c r="C302" s="6" t="s">
        <v>641</v>
      </c>
      <c r="D302" s="5" t="s">
        <v>834</v>
      </c>
      <c r="E302" s="5" t="s">
        <v>61</v>
      </c>
      <c r="F302" s="6" t="s">
        <v>29</v>
      </c>
      <c r="G302" s="6"/>
      <c r="H302" s="5" t="s">
        <v>835</v>
      </c>
      <c r="I302" s="12"/>
      <c r="J302" s="29" t="s">
        <v>46</v>
      </c>
      <c r="K302" s="29">
        <v>1</v>
      </c>
      <c r="L302" s="29"/>
      <c r="M302" s="25" t="s">
        <v>48</v>
      </c>
      <c r="N302" s="15" t="s">
        <v>29</v>
      </c>
      <c r="O302" s="30" t="s">
        <v>18</v>
      </c>
    </row>
    <row r="303" spans="1:15" s="70" customFormat="1" ht="30.95">
      <c r="A303" s="63">
        <v>28</v>
      </c>
      <c r="B303" s="63" t="s">
        <v>824</v>
      </c>
      <c r="C303" s="63" t="s">
        <v>836</v>
      </c>
      <c r="D303" s="64" t="s">
        <v>837</v>
      </c>
      <c r="E303" s="64" t="s">
        <v>61</v>
      </c>
      <c r="F303" s="63" t="s">
        <v>29</v>
      </c>
      <c r="G303" s="63"/>
      <c r="H303" s="64" t="s">
        <v>838</v>
      </c>
      <c r="I303" s="65"/>
      <c r="J303" s="66" t="s">
        <v>46</v>
      </c>
      <c r="K303" s="66">
        <v>1</v>
      </c>
      <c r="L303" s="66"/>
      <c r="M303" s="67" t="s">
        <v>48</v>
      </c>
      <c r="N303" s="68" t="s">
        <v>18</v>
      </c>
      <c r="O303" s="69" t="s">
        <v>18</v>
      </c>
    </row>
    <row r="304" spans="1:15" ht="46.5">
      <c r="A304" s="6">
        <v>28</v>
      </c>
      <c r="B304" s="6" t="s">
        <v>824</v>
      </c>
      <c r="C304" s="6" t="s">
        <v>839</v>
      </c>
      <c r="D304" s="5" t="s">
        <v>840</v>
      </c>
      <c r="E304" s="5" t="s">
        <v>61</v>
      </c>
      <c r="F304" s="6" t="s">
        <v>29</v>
      </c>
      <c r="G304" s="6"/>
      <c r="H304" s="5" t="s">
        <v>56</v>
      </c>
      <c r="I304" s="12"/>
      <c r="J304" s="29" t="s">
        <v>46</v>
      </c>
      <c r="K304" s="29">
        <v>1</v>
      </c>
      <c r="L304" s="29"/>
      <c r="M304" s="25" t="s">
        <v>48</v>
      </c>
      <c r="N304" s="15" t="s">
        <v>29</v>
      </c>
      <c r="O304" s="30" t="s">
        <v>18</v>
      </c>
    </row>
    <row r="305" spans="1:15" s="70" customFormat="1" ht="30.95">
      <c r="A305" s="63">
        <v>28</v>
      </c>
      <c r="B305" s="63" t="s">
        <v>824</v>
      </c>
      <c r="C305" s="63" t="s">
        <v>841</v>
      </c>
      <c r="D305" s="64" t="s">
        <v>842</v>
      </c>
      <c r="E305" s="64" t="s">
        <v>61</v>
      </c>
      <c r="F305" s="63" t="s">
        <v>29</v>
      </c>
      <c r="G305" s="63"/>
      <c r="H305" s="64" t="s">
        <v>843</v>
      </c>
      <c r="I305" s="65"/>
      <c r="J305" s="66" t="s">
        <v>46</v>
      </c>
      <c r="K305" s="66">
        <v>1</v>
      </c>
      <c r="L305" s="66"/>
      <c r="M305" s="67" t="s">
        <v>48</v>
      </c>
      <c r="N305" s="68" t="s">
        <v>18</v>
      </c>
      <c r="O305" s="69" t="s">
        <v>18</v>
      </c>
    </row>
    <row r="306" spans="1:15" ht="46.5">
      <c r="A306" s="6">
        <v>28</v>
      </c>
      <c r="B306" s="6" t="s">
        <v>824</v>
      </c>
      <c r="C306" s="6" t="s">
        <v>844</v>
      </c>
      <c r="D306" s="5" t="s">
        <v>845</v>
      </c>
      <c r="E306" s="5" t="s">
        <v>61</v>
      </c>
      <c r="F306" s="6" t="s">
        <v>29</v>
      </c>
      <c r="G306" s="6"/>
      <c r="H306" s="5" t="s">
        <v>56</v>
      </c>
      <c r="I306" s="12"/>
      <c r="J306" s="29" t="s">
        <v>46</v>
      </c>
      <c r="K306" s="29">
        <v>1</v>
      </c>
      <c r="L306" s="29"/>
      <c r="M306" s="25" t="s">
        <v>48</v>
      </c>
      <c r="N306" s="15" t="s">
        <v>29</v>
      </c>
      <c r="O306" s="30" t="s">
        <v>18</v>
      </c>
    </row>
    <row r="307" spans="1:15" ht="30.95">
      <c r="A307" s="6">
        <v>28</v>
      </c>
      <c r="B307" s="6" t="s">
        <v>824</v>
      </c>
      <c r="C307" s="6" t="s">
        <v>643</v>
      </c>
      <c r="D307" s="5" t="s">
        <v>829</v>
      </c>
      <c r="E307" s="5" t="s">
        <v>61</v>
      </c>
      <c r="F307" s="6" t="s">
        <v>29</v>
      </c>
      <c r="G307" s="6"/>
      <c r="H307" s="5" t="s">
        <v>56</v>
      </c>
      <c r="I307" s="12"/>
      <c r="J307" s="29" t="s">
        <v>46</v>
      </c>
      <c r="K307" s="29">
        <v>1</v>
      </c>
      <c r="L307" s="29"/>
      <c r="M307" s="25" t="s">
        <v>48</v>
      </c>
      <c r="N307" s="15" t="s">
        <v>29</v>
      </c>
      <c r="O307" s="30" t="s">
        <v>18</v>
      </c>
    </row>
    <row r="308" spans="1:15" ht="30.95">
      <c r="A308" s="50">
        <v>28</v>
      </c>
      <c r="B308" s="50" t="s">
        <v>824</v>
      </c>
      <c r="C308" s="50" t="s">
        <v>423</v>
      </c>
      <c r="D308" s="49" t="s">
        <v>846</v>
      </c>
      <c r="E308" s="49" t="s">
        <v>425</v>
      </c>
      <c r="F308" s="50" t="s">
        <v>21</v>
      </c>
      <c r="G308" s="50"/>
      <c r="H308" s="49" t="s">
        <v>847</v>
      </c>
      <c r="I308" s="51"/>
      <c r="J308" s="55" t="s">
        <v>848</v>
      </c>
      <c r="K308" s="52">
        <v>1</v>
      </c>
      <c r="L308" s="52"/>
      <c r="M308" s="53" t="s">
        <v>25</v>
      </c>
      <c r="N308" s="59" t="s">
        <v>18</v>
      </c>
      <c r="O308" s="54" t="s">
        <v>18</v>
      </c>
    </row>
    <row r="309" spans="1:15" ht="30.95">
      <c r="A309" s="50">
        <v>28</v>
      </c>
      <c r="B309" s="50" t="s">
        <v>824</v>
      </c>
      <c r="C309" s="50" t="s">
        <v>169</v>
      </c>
      <c r="D309" s="49" t="s">
        <v>849</v>
      </c>
      <c r="E309" s="49" t="s">
        <v>425</v>
      </c>
      <c r="F309" s="50" t="s">
        <v>21</v>
      </c>
      <c r="G309" s="50"/>
      <c r="H309" s="49" t="s">
        <v>850</v>
      </c>
      <c r="I309" s="51"/>
      <c r="J309" s="55" t="s">
        <v>848</v>
      </c>
      <c r="K309" s="52">
        <v>1</v>
      </c>
      <c r="L309" s="52"/>
      <c r="M309" s="53" t="s">
        <v>25</v>
      </c>
      <c r="N309" s="59" t="s">
        <v>18</v>
      </c>
      <c r="O309" s="54" t="s">
        <v>18</v>
      </c>
    </row>
    <row r="310" spans="1:15" ht="30.95">
      <c r="A310" s="6">
        <v>28</v>
      </c>
      <c r="B310" s="6" t="s">
        <v>824</v>
      </c>
      <c r="C310" s="6" t="s">
        <v>851</v>
      </c>
      <c r="D310" s="5" t="s">
        <v>852</v>
      </c>
      <c r="E310" s="35" t="s">
        <v>39</v>
      </c>
      <c r="F310" s="34" t="s">
        <v>29</v>
      </c>
      <c r="G310" s="34"/>
      <c r="H310" s="35" t="s">
        <v>853</v>
      </c>
      <c r="I310" s="12"/>
      <c r="J310" s="29" t="s">
        <v>33</v>
      </c>
      <c r="K310" s="29">
        <v>1</v>
      </c>
      <c r="L310" s="29"/>
      <c r="M310" s="25" t="s">
        <v>81</v>
      </c>
      <c r="N310" s="15" t="s">
        <v>29</v>
      </c>
      <c r="O310" s="30" t="s">
        <v>36</v>
      </c>
    </row>
    <row r="311" spans="1:15" ht="45">
      <c r="A311" s="6">
        <v>28</v>
      </c>
      <c r="B311" s="6" t="s">
        <v>824</v>
      </c>
      <c r="C311" s="6" t="s">
        <v>854</v>
      </c>
      <c r="D311" s="5" t="s">
        <v>855</v>
      </c>
      <c r="E311" s="35" t="s">
        <v>39</v>
      </c>
      <c r="F311" s="34" t="s">
        <v>29</v>
      </c>
      <c r="G311" s="34"/>
      <c r="H311" s="35" t="s">
        <v>856</v>
      </c>
      <c r="I311" s="12"/>
      <c r="J311" s="29" t="s">
        <v>33</v>
      </c>
      <c r="K311" s="29">
        <v>1</v>
      </c>
      <c r="L311" s="29"/>
      <c r="M311" s="25" t="s">
        <v>81</v>
      </c>
      <c r="N311" s="15" t="s">
        <v>29</v>
      </c>
      <c r="O311" s="30" t="s">
        <v>36</v>
      </c>
    </row>
    <row r="312" spans="1:15" s="70" customFormat="1" ht="30.95">
      <c r="A312" s="63">
        <v>28</v>
      </c>
      <c r="B312" s="63" t="s">
        <v>824</v>
      </c>
      <c r="C312" s="63" t="s">
        <v>857</v>
      </c>
      <c r="D312" s="64" t="s">
        <v>858</v>
      </c>
      <c r="E312" s="64" t="s">
        <v>39</v>
      </c>
      <c r="F312" s="72" t="s">
        <v>29</v>
      </c>
      <c r="G312" s="72"/>
      <c r="H312" s="64" t="s">
        <v>859</v>
      </c>
      <c r="I312" s="65"/>
      <c r="J312" s="66" t="s">
        <v>33</v>
      </c>
      <c r="K312" s="66">
        <v>1</v>
      </c>
      <c r="L312" s="66"/>
      <c r="M312" s="67" t="s">
        <v>101</v>
      </c>
      <c r="N312" s="68" t="s">
        <v>18</v>
      </c>
      <c r="O312" s="69" t="s">
        <v>36</v>
      </c>
    </row>
    <row r="313" spans="1:15" ht="62.1">
      <c r="A313" s="6">
        <v>28</v>
      </c>
      <c r="B313" s="6" t="s">
        <v>824</v>
      </c>
      <c r="C313" s="6" t="s">
        <v>860</v>
      </c>
      <c r="D313" s="5" t="s">
        <v>861</v>
      </c>
      <c r="E313" s="5" t="s">
        <v>39</v>
      </c>
      <c r="F313" s="6" t="s">
        <v>29</v>
      </c>
      <c r="G313" s="6"/>
      <c r="H313" s="5" t="s">
        <v>862</v>
      </c>
      <c r="I313" s="12"/>
      <c r="J313" s="29" t="s">
        <v>33</v>
      </c>
      <c r="K313" s="29">
        <v>1</v>
      </c>
      <c r="L313" s="29"/>
      <c r="M313" s="25" t="s">
        <v>101</v>
      </c>
      <c r="N313" s="15" t="s">
        <v>29</v>
      </c>
      <c r="O313" s="30" t="s">
        <v>36</v>
      </c>
    </row>
    <row r="314" spans="1:15" ht="46.5">
      <c r="A314" s="6">
        <v>28</v>
      </c>
      <c r="B314" s="6" t="s">
        <v>824</v>
      </c>
      <c r="C314" s="6" t="s">
        <v>863</v>
      </c>
      <c r="D314" s="5" t="s">
        <v>864</v>
      </c>
      <c r="E314" s="5" t="s">
        <v>39</v>
      </c>
      <c r="F314" s="34" t="s">
        <v>29</v>
      </c>
      <c r="G314" s="34"/>
      <c r="H314" s="5" t="s">
        <v>865</v>
      </c>
      <c r="I314" s="12"/>
      <c r="J314" s="29" t="s">
        <v>33</v>
      </c>
      <c r="K314" s="29">
        <v>1</v>
      </c>
      <c r="L314" s="29"/>
      <c r="M314" s="25" t="s">
        <v>81</v>
      </c>
      <c r="N314" s="15" t="s">
        <v>29</v>
      </c>
      <c r="O314" s="30" t="s">
        <v>36</v>
      </c>
    </row>
    <row r="315" spans="1:15" ht="46.5">
      <c r="A315" s="6">
        <v>28</v>
      </c>
      <c r="B315" s="6" t="s">
        <v>824</v>
      </c>
      <c r="C315" s="6" t="s">
        <v>866</v>
      </c>
      <c r="D315" s="5" t="s">
        <v>867</v>
      </c>
      <c r="E315" s="5" t="s">
        <v>39</v>
      </c>
      <c r="F315" s="6" t="s">
        <v>29</v>
      </c>
      <c r="G315" s="6"/>
      <c r="H315" s="5" t="s">
        <v>868</v>
      </c>
      <c r="I315" s="12"/>
      <c r="J315" s="29" t="s">
        <v>33</v>
      </c>
      <c r="K315" s="29">
        <v>1</v>
      </c>
      <c r="L315" s="29"/>
      <c r="M315" s="25" t="s">
        <v>101</v>
      </c>
      <c r="N315" s="15" t="s">
        <v>29</v>
      </c>
      <c r="O315" s="30" t="s">
        <v>36</v>
      </c>
    </row>
    <row r="316" spans="1:15" ht="30.95">
      <c r="A316" s="50">
        <v>28</v>
      </c>
      <c r="B316" s="50" t="s">
        <v>824</v>
      </c>
      <c r="C316" s="50" t="s">
        <v>869</v>
      </c>
      <c r="D316" s="49" t="s">
        <v>870</v>
      </c>
      <c r="E316" s="49" t="s">
        <v>39</v>
      </c>
      <c r="F316" s="50" t="s">
        <v>21</v>
      </c>
      <c r="G316" s="50"/>
      <c r="H316" s="49" t="s">
        <v>871</v>
      </c>
      <c r="I316" s="51"/>
      <c r="J316" s="55" t="s">
        <v>848</v>
      </c>
      <c r="K316" s="52">
        <v>1</v>
      </c>
      <c r="L316" s="52"/>
      <c r="M316" s="53" t="s">
        <v>25</v>
      </c>
      <c r="N316" s="59" t="s">
        <v>18</v>
      </c>
      <c r="O316" s="54" t="s">
        <v>18</v>
      </c>
    </row>
    <row r="317" spans="1:15" ht="46.5">
      <c r="A317" s="6">
        <v>28</v>
      </c>
      <c r="B317" s="6" t="s">
        <v>824</v>
      </c>
      <c r="C317" s="6" t="s">
        <v>872</v>
      </c>
      <c r="D317" s="5" t="s">
        <v>873</v>
      </c>
      <c r="E317" s="5" t="s">
        <v>61</v>
      </c>
      <c r="F317" s="6" t="s">
        <v>62</v>
      </c>
      <c r="G317" s="6"/>
      <c r="H317" s="5" t="s">
        <v>874</v>
      </c>
      <c r="I317" s="12"/>
      <c r="J317" s="29" t="s">
        <v>46</v>
      </c>
      <c r="K317" s="29">
        <v>3</v>
      </c>
      <c r="L317" s="29"/>
      <c r="M317" s="25" t="s">
        <v>875</v>
      </c>
      <c r="N317" s="15" t="s">
        <v>29</v>
      </c>
      <c r="O317" s="30" t="s">
        <v>568</v>
      </c>
    </row>
    <row r="318" spans="1:15" ht="30.95">
      <c r="A318" s="6">
        <v>28</v>
      </c>
      <c r="B318" s="6" t="s">
        <v>824</v>
      </c>
      <c r="C318" s="6" t="s">
        <v>876</v>
      </c>
      <c r="D318" s="5" t="s">
        <v>877</v>
      </c>
      <c r="E318" s="5" t="s">
        <v>61</v>
      </c>
      <c r="F318" s="6" t="s">
        <v>29</v>
      </c>
      <c r="G318" s="6"/>
      <c r="H318" s="5" t="s">
        <v>56</v>
      </c>
      <c r="I318" s="12"/>
      <c r="J318" s="29" t="s">
        <v>46</v>
      </c>
      <c r="K318" s="29">
        <v>1</v>
      </c>
      <c r="L318" s="29"/>
      <c r="M318" s="25" t="s">
        <v>48</v>
      </c>
      <c r="N318" s="15" t="s">
        <v>29</v>
      </c>
      <c r="O318" s="30" t="s">
        <v>36</v>
      </c>
    </row>
    <row r="319" spans="1:15" ht="108.6">
      <c r="A319" s="6">
        <v>28</v>
      </c>
      <c r="B319" s="6" t="s">
        <v>824</v>
      </c>
      <c r="C319" s="6" t="s">
        <v>878</v>
      </c>
      <c r="D319" s="5" t="s">
        <v>879</v>
      </c>
      <c r="E319" s="5" t="s">
        <v>61</v>
      </c>
      <c r="F319" s="6" t="s">
        <v>116</v>
      </c>
      <c r="G319" s="6"/>
      <c r="H319" s="5" t="s">
        <v>880</v>
      </c>
      <c r="I319" s="12"/>
      <c r="J319" s="29" t="s">
        <v>33</v>
      </c>
      <c r="K319" s="29">
        <v>3</v>
      </c>
      <c r="L319" s="29"/>
      <c r="M319" s="25" t="s">
        <v>881</v>
      </c>
      <c r="N319" s="15" t="s">
        <v>882</v>
      </c>
      <c r="O319" s="30" t="s">
        <v>568</v>
      </c>
    </row>
    <row r="320" spans="1:15" ht="77.099999999999994">
      <c r="A320" s="6">
        <v>28</v>
      </c>
      <c r="B320" s="6" t="s">
        <v>824</v>
      </c>
      <c r="C320" s="6" t="s">
        <v>883</v>
      </c>
      <c r="D320" s="5" t="s">
        <v>884</v>
      </c>
      <c r="E320" s="35" t="s">
        <v>39</v>
      </c>
      <c r="F320" s="34" t="s">
        <v>29</v>
      </c>
      <c r="G320" s="34"/>
      <c r="H320" s="5" t="s">
        <v>885</v>
      </c>
      <c r="I320" s="12"/>
      <c r="J320" s="29" t="s">
        <v>33</v>
      </c>
      <c r="K320" s="29">
        <v>2</v>
      </c>
      <c r="L320" s="29"/>
      <c r="M320" s="25" t="s">
        <v>886</v>
      </c>
      <c r="N320" s="15" t="s">
        <v>29</v>
      </c>
      <c r="O320" s="30" t="s">
        <v>36</v>
      </c>
    </row>
    <row r="321" spans="1:15" ht="77.45">
      <c r="A321" s="6">
        <v>28</v>
      </c>
      <c r="B321" s="6" t="s">
        <v>824</v>
      </c>
      <c r="C321" s="6" t="s">
        <v>887</v>
      </c>
      <c r="D321" s="5" t="s">
        <v>888</v>
      </c>
      <c r="E321" s="5" t="s">
        <v>425</v>
      </c>
      <c r="F321" s="6" t="s">
        <v>29</v>
      </c>
      <c r="G321" s="6"/>
      <c r="H321" s="5" t="s">
        <v>889</v>
      </c>
      <c r="I321" s="12"/>
      <c r="J321" s="29" t="s">
        <v>33</v>
      </c>
      <c r="K321" s="29">
        <v>2</v>
      </c>
      <c r="L321" s="29"/>
      <c r="M321" s="25" t="s">
        <v>101</v>
      </c>
      <c r="N321" s="15" t="s">
        <v>29</v>
      </c>
      <c r="O321" s="30" t="s">
        <v>36</v>
      </c>
    </row>
    <row r="322" spans="1:15" ht="30.95">
      <c r="A322" s="50">
        <v>29</v>
      </c>
      <c r="B322" s="50" t="s">
        <v>824</v>
      </c>
      <c r="C322" s="50" t="s">
        <v>172</v>
      </c>
      <c r="D322" s="49" t="s">
        <v>890</v>
      </c>
      <c r="E322" s="49" t="s">
        <v>39</v>
      </c>
      <c r="F322" s="50" t="s">
        <v>21</v>
      </c>
      <c r="G322" s="50"/>
      <c r="H322" s="49" t="s">
        <v>891</v>
      </c>
      <c r="I322" s="51"/>
      <c r="J322" s="52" t="s">
        <v>33</v>
      </c>
      <c r="K322" s="52">
        <v>1</v>
      </c>
      <c r="L322" s="52"/>
      <c r="M322" s="53" t="s">
        <v>101</v>
      </c>
      <c r="N322" s="59" t="s">
        <v>18</v>
      </c>
      <c r="O322" s="54" t="s">
        <v>36</v>
      </c>
    </row>
    <row r="323" spans="1:15" ht="123.95">
      <c r="A323" s="6">
        <v>29</v>
      </c>
      <c r="B323" s="6" t="s">
        <v>824</v>
      </c>
      <c r="C323" s="6" t="s">
        <v>892</v>
      </c>
      <c r="D323" s="5" t="s">
        <v>893</v>
      </c>
      <c r="E323" s="5" t="s">
        <v>39</v>
      </c>
      <c r="F323" s="6" t="s">
        <v>29</v>
      </c>
      <c r="G323" s="6"/>
      <c r="H323" s="5" t="s">
        <v>894</v>
      </c>
      <c r="I323" s="12"/>
      <c r="J323" s="29" t="s">
        <v>33</v>
      </c>
      <c r="K323" s="29">
        <v>1</v>
      </c>
      <c r="L323" s="29"/>
      <c r="M323" s="25" t="s">
        <v>101</v>
      </c>
      <c r="N323" s="15" t="s">
        <v>29</v>
      </c>
      <c r="O323" s="30" t="s">
        <v>36</v>
      </c>
    </row>
    <row r="324" spans="1:15" ht="30.95">
      <c r="A324" s="50">
        <v>29</v>
      </c>
      <c r="B324" s="50" t="s">
        <v>824</v>
      </c>
      <c r="C324" s="50" t="s">
        <v>895</v>
      </c>
      <c r="D324" s="49" t="s">
        <v>896</v>
      </c>
      <c r="E324" s="49" t="s">
        <v>39</v>
      </c>
      <c r="F324" s="50" t="s">
        <v>897</v>
      </c>
      <c r="G324" s="50"/>
      <c r="H324" s="49" t="s">
        <v>898</v>
      </c>
      <c r="I324" s="51"/>
      <c r="J324" s="52" t="s">
        <v>33</v>
      </c>
      <c r="K324" s="52">
        <v>2</v>
      </c>
      <c r="L324" s="52"/>
      <c r="M324" s="53" t="s">
        <v>899</v>
      </c>
      <c r="N324" s="59" t="s">
        <v>18</v>
      </c>
      <c r="O324" s="54" t="s">
        <v>568</v>
      </c>
    </row>
    <row r="325" spans="1:15" ht="30.95">
      <c r="A325" s="6">
        <v>29</v>
      </c>
      <c r="B325" s="6" t="s">
        <v>824</v>
      </c>
      <c r="C325" s="6" t="s">
        <v>900</v>
      </c>
      <c r="D325" s="5" t="s">
        <v>901</v>
      </c>
      <c r="E325" s="5" t="s">
        <v>39</v>
      </c>
      <c r="F325" s="34" t="s">
        <v>29</v>
      </c>
      <c r="G325" s="34"/>
      <c r="H325" s="35" t="s">
        <v>902</v>
      </c>
      <c r="I325" s="12"/>
      <c r="J325" s="29" t="s">
        <v>33</v>
      </c>
      <c r="K325" s="29">
        <v>1</v>
      </c>
      <c r="L325" s="29"/>
      <c r="M325" s="25" t="s">
        <v>81</v>
      </c>
      <c r="N325" s="15" t="s">
        <v>29</v>
      </c>
      <c r="O325" s="30" t="s">
        <v>36</v>
      </c>
    </row>
    <row r="326" spans="1:15" ht="30.95">
      <c r="A326" s="50">
        <v>29</v>
      </c>
      <c r="B326" s="50" t="s">
        <v>824</v>
      </c>
      <c r="C326" s="50" t="s">
        <v>903</v>
      </c>
      <c r="D326" s="49" t="s">
        <v>904</v>
      </c>
      <c r="E326" s="49" t="s">
        <v>39</v>
      </c>
      <c r="F326" s="50" t="s">
        <v>62</v>
      </c>
      <c r="G326" s="50"/>
      <c r="H326" s="49" t="s">
        <v>905</v>
      </c>
      <c r="I326" s="51"/>
      <c r="J326" s="52" t="s">
        <v>33</v>
      </c>
      <c r="K326" s="52">
        <v>2</v>
      </c>
      <c r="L326" s="52"/>
      <c r="M326" s="53" t="s">
        <v>899</v>
      </c>
      <c r="N326" s="59" t="s">
        <v>18</v>
      </c>
      <c r="O326" s="54" t="s">
        <v>568</v>
      </c>
    </row>
    <row r="327" spans="1:15" ht="62.1">
      <c r="A327" s="6">
        <v>29</v>
      </c>
      <c r="B327" s="6" t="s">
        <v>824</v>
      </c>
      <c r="C327" s="6" t="s">
        <v>906</v>
      </c>
      <c r="D327" s="5" t="s">
        <v>907</v>
      </c>
      <c r="E327" s="5" t="s">
        <v>39</v>
      </c>
      <c r="F327" s="6" t="s">
        <v>62</v>
      </c>
      <c r="G327" s="6"/>
      <c r="H327" s="5" t="s">
        <v>908</v>
      </c>
      <c r="I327" s="12"/>
      <c r="J327" s="29" t="s">
        <v>33</v>
      </c>
      <c r="K327" s="29">
        <v>2</v>
      </c>
      <c r="L327" s="29"/>
      <c r="M327" s="25" t="s">
        <v>899</v>
      </c>
      <c r="N327" s="15" t="s">
        <v>29</v>
      </c>
      <c r="O327" s="30" t="s">
        <v>568</v>
      </c>
    </row>
    <row r="328" spans="1:15" ht="30.95">
      <c r="A328" s="50">
        <v>29</v>
      </c>
      <c r="B328" s="50" t="s">
        <v>824</v>
      </c>
      <c r="C328" s="50" t="s">
        <v>909</v>
      </c>
      <c r="D328" s="49" t="s">
        <v>910</v>
      </c>
      <c r="E328" s="49" t="s">
        <v>39</v>
      </c>
      <c r="F328" s="50" t="s">
        <v>62</v>
      </c>
      <c r="G328" s="50"/>
      <c r="H328" s="49" t="s">
        <v>911</v>
      </c>
      <c r="I328" s="51"/>
      <c r="J328" s="52" t="s">
        <v>33</v>
      </c>
      <c r="K328" s="52">
        <v>2</v>
      </c>
      <c r="L328" s="52"/>
      <c r="M328" s="53" t="s">
        <v>899</v>
      </c>
      <c r="N328" s="59" t="s">
        <v>18</v>
      </c>
      <c r="O328" s="54" t="s">
        <v>568</v>
      </c>
    </row>
    <row r="329" spans="1:15" ht="62.1">
      <c r="A329" s="6">
        <v>29</v>
      </c>
      <c r="B329" s="6" t="s">
        <v>824</v>
      </c>
      <c r="C329" s="6" t="s">
        <v>912</v>
      </c>
      <c r="D329" s="5" t="s">
        <v>913</v>
      </c>
      <c r="E329" s="5" t="s">
        <v>39</v>
      </c>
      <c r="F329" s="6" t="s">
        <v>62</v>
      </c>
      <c r="G329" s="6"/>
      <c r="H329" s="5" t="s">
        <v>914</v>
      </c>
      <c r="I329" s="12"/>
      <c r="J329" s="29" t="s">
        <v>33</v>
      </c>
      <c r="K329" s="29">
        <v>2</v>
      </c>
      <c r="L329" s="29"/>
      <c r="M329" s="25" t="s">
        <v>899</v>
      </c>
      <c r="N329" s="15" t="s">
        <v>29</v>
      </c>
      <c r="O329" s="30" t="s">
        <v>568</v>
      </c>
    </row>
    <row r="330" spans="1:15" ht="46.5">
      <c r="A330" s="6">
        <v>29</v>
      </c>
      <c r="B330" s="6" t="s">
        <v>824</v>
      </c>
      <c r="C330" s="6" t="s">
        <v>915</v>
      </c>
      <c r="D330" s="5" t="s">
        <v>916</v>
      </c>
      <c r="E330" s="5" t="s">
        <v>39</v>
      </c>
      <c r="F330" s="6" t="s">
        <v>62</v>
      </c>
      <c r="G330" s="6"/>
      <c r="H330" s="5" t="s">
        <v>917</v>
      </c>
      <c r="I330" s="12"/>
      <c r="J330" s="29" t="s">
        <v>33</v>
      </c>
      <c r="K330" s="29">
        <v>2</v>
      </c>
      <c r="L330" s="29"/>
      <c r="M330" s="25" t="s">
        <v>899</v>
      </c>
      <c r="N330" s="15" t="s">
        <v>918</v>
      </c>
      <c r="O330" s="30" t="s">
        <v>568</v>
      </c>
    </row>
    <row r="331" spans="1:15" ht="30.95">
      <c r="A331" s="50">
        <v>29</v>
      </c>
      <c r="B331" s="50" t="s">
        <v>824</v>
      </c>
      <c r="C331" s="50" t="s">
        <v>919</v>
      </c>
      <c r="D331" s="49" t="s">
        <v>920</v>
      </c>
      <c r="E331" s="49" t="s">
        <v>39</v>
      </c>
      <c r="F331" s="56" t="s">
        <v>29</v>
      </c>
      <c r="G331" s="56"/>
      <c r="H331" s="49" t="s">
        <v>921</v>
      </c>
      <c r="I331" s="51"/>
      <c r="J331" s="52" t="s">
        <v>33</v>
      </c>
      <c r="K331" s="52">
        <v>1</v>
      </c>
      <c r="L331" s="52"/>
      <c r="M331" s="53" t="s">
        <v>81</v>
      </c>
      <c r="N331" s="59" t="s">
        <v>18</v>
      </c>
      <c r="O331" s="54" t="s">
        <v>36</v>
      </c>
    </row>
    <row r="332" spans="1:15" ht="45">
      <c r="A332" s="6">
        <v>29</v>
      </c>
      <c r="B332" s="6" t="s">
        <v>824</v>
      </c>
      <c r="C332" s="6" t="s">
        <v>922</v>
      </c>
      <c r="D332" s="5" t="s">
        <v>923</v>
      </c>
      <c r="E332" s="5" t="s">
        <v>39</v>
      </c>
      <c r="F332" s="34" t="s">
        <v>29</v>
      </c>
      <c r="G332" s="34"/>
      <c r="H332" s="35" t="s">
        <v>856</v>
      </c>
      <c r="I332" s="12"/>
      <c r="J332" s="29" t="s">
        <v>33</v>
      </c>
      <c r="K332" s="29">
        <v>1</v>
      </c>
      <c r="L332" s="29"/>
      <c r="M332" s="25" t="s">
        <v>81</v>
      </c>
      <c r="N332" s="59" t="s">
        <v>29</v>
      </c>
      <c r="O332" s="30" t="s">
        <v>36</v>
      </c>
    </row>
    <row r="333" spans="1:15" ht="30.95">
      <c r="A333" s="6">
        <v>29</v>
      </c>
      <c r="B333" s="6" t="s">
        <v>824</v>
      </c>
      <c r="C333" s="6" t="s">
        <v>924</v>
      </c>
      <c r="D333" s="5" t="s">
        <v>901</v>
      </c>
      <c r="E333" s="5" t="s">
        <v>39</v>
      </c>
      <c r="F333" s="34" t="s">
        <v>29</v>
      </c>
      <c r="G333" s="34"/>
      <c r="H333" s="35" t="s">
        <v>902</v>
      </c>
      <c r="I333" s="12"/>
      <c r="J333" s="29" t="s">
        <v>33</v>
      </c>
      <c r="K333" s="29">
        <v>1</v>
      </c>
      <c r="L333" s="29"/>
      <c r="M333" s="25" t="s">
        <v>81</v>
      </c>
      <c r="N333" s="59" t="s">
        <v>29</v>
      </c>
      <c r="O333" s="30" t="s">
        <v>36</v>
      </c>
    </row>
    <row r="334" spans="1:15" ht="30.95">
      <c r="A334" s="50">
        <v>29</v>
      </c>
      <c r="B334" s="50" t="s">
        <v>824</v>
      </c>
      <c r="C334" s="50" t="s">
        <v>925</v>
      </c>
      <c r="D334" s="49" t="s">
        <v>926</v>
      </c>
      <c r="E334" s="49" t="s">
        <v>39</v>
      </c>
      <c r="F334" s="50" t="s">
        <v>29</v>
      </c>
      <c r="G334" s="50"/>
      <c r="H334" s="49" t="s">
        <v>927</v>
      </c>
      <c r="I334" s="51"/>
      <c r="J334" s="52" t="s">
        <v>33</v>
      </c>
      <c r="K334" s="52">
        <v>1</v>
      </c>
      <c r="L334" s="52"/>
      <c r="M334" s="53" t="s">
        <v>101</v>
      </c>
      <c r="N334" s="59" t="s">
        <v>18</v>
      </c>
      <c r="O334" s="54" t="s">
        <v>36</v>
      </c>
    </row>
    <row r="335" spans="1:15" ht="30.95">
      <c r="A335" s="50">
        <v>29</v>
      </c>
      <c r="B335" s="50" t="s">
        <v>824</v>
      </c>
      <c r="C335" s="50" t="s">
        <v>928</v>
      </c>
      <c r="D335" s="49" t="s">
        <v>929</v>
      </c>
      <c r="E335" s="49" t="s">
        <v>39</v>
      </c>
      <c r="F335" s="50" t="s">
        <v>29</v>
      </c>
      <c r="G335" s="50"/>
      <c r="H335" s="49" t="s">
        <v>930</v>
      </c>
      <c r="I335" s="51"/>
      <c r="J335" s="52" t="s">
        <v>33</v>
      </c>
      <c r="K335" s="52">
        <v>1</v>
      </c>
      <c r="L335" s="52"/>
      <c r="M335" s="53" t="s">
        <v>101</v>
      </c>
      <c r="N335" s="59" t="s">
        <v>18</v>
      </c>
      <c r="O335" s="54" t="s">
        <v>36</v>
      </c>
    </row>
    <row r="336" spans="1:15" ht="123.95">
      <c r="A336" s="6">
        <v>29</v>
      </c>
      <c r="B336" s="6" t="s">
        <v>824</v>
      </c>
      <c r="C336" s="6" t="s">
        <v>931</v>
      </c>
      <c r="D336" s="5" t="s">
        <v>932</v>
      </c>
      <c r="E336" s="5" t="s">
        <v>39</v>
      </c>
      <c r="F336" s="6" t="s">
        <v>29</v>
      </c>
      <c r="G336" s="6"/>
      <c r="H336" s="5" t="s">
        <v>933</v>
      </c>
      <c r="I336" s="12"/>
      <c r="J336" s="29" t="s">
        <v>33</v>
      </c>
      <c r="K336" s="29">
        <v>1</v>
      </c>
      <c r="L336" s="29"/>
      <c r="M336" s="25" t="s">
        <v>101</v>
      </c>
      <c r="N336" s="59" t="s">
        <v>29</v>
      </c>
      <c r="O336" s="30" t="s">
        <v>36</v>
      </c>
    </row>
    <row r="337" spans="1:15" ht="77.45">
      <c r="A337" s="6">
        <v>29</v>
      </c>
      <c r="B337" s="6" t="s">
        <v>824</v>
      </c>
      <c r="C337" s="6" t="s">
        <v>934</v>
      </c>
      <c r="D337" s="5" t="s">
        <v>935</v>
      </c>
      <c r="E337" s="5" t="s">
        <v>39</v>
      </c>
      <c r="F337" s="6" t="s">
        <v>29</v>
      </c>
      <c r="G337" s="6"/>
      <c r="H337" s="5" t="s">
        <v>933</v>
      </c>
      <c r="I337" s="12"/>
      <c r="J337" s="29" t="s">
        <v>33</v>
      </c>
      <c r="K337" s="29">
        <v>1</v>
      </c>
      <c r="L337" s="29"/>
      <c r="M337" s="25" t="s">
        <v>101</v>
      </c>
      <c r="N337" s="59" t="s">
        <v>29</v>
      </c>
      <c r="O337" s="30" t="s">
        <v>36</v>
      </c>
    </row>
    <row r="338" spans="1:15" ht="77.45">
      <c r="A338" s="6">
        <v>29</v>
      </c>
      <c r="B338" s="6" t="s">
        <v>824</v>
      </c>
      <c r="C338" s="6" t="s">
        <v>936</v>
      </c>
      <c r="D338" s="5" t="s">
        <v>937</v>
      </c>
      <c r="E338" s="5" t="s">
        <v>39</v>
      </c>
      <c r="F338" s="6" t="s">
        <v>29</v>
      </c>
      <c r="G338" s="6"/>
      <c r="H338" s="5" t="s">
        <v>933</v>
      </c>
      <c r="I338" s="12"/>
      <c r="J338" s="29" t="s">
        <v>33</v>
      </c>
      <c r="K338" s="29">
        <v>1</v>
      </c>
      <c r="L338" s="29"/>
      <c r="M338" s="25" t="s">
        <v>101</v>
      </c>
      <c r="N338" s="59" t="s">
        <v>29</v>
      </c>
      <c r="O338" s="30" t="s">
        <v>36</v>
      </c>
    </row>
    <row r="339" spans="1:15" ht="77.45">
      <c r="A339" s="6">
        <v>29</v>
      </c>
      <c r="B339" s="6" t="s">
        <v>824</v>
      </c>
      <c r="C339" s="6" t="s">
        <v>936</v>
      </c>
      <c r="D339" s="5" t="s">
        <v>938</v>
      </c>
      <c r="E339" s="5" t="s">
        <v>39</v>
      </c>
      <c r="F339" s="6" t="s">
        <v>29</v>
      </c>
      <c r="G339" s="6"/>
      <c r="H339" s="5" t="s">
        <v>933</v>
      </c>
      <c r="I339" s="12"/>
      <c r="J339" s="29" t="s">
        <v>33</v>
      </c>
      <c r="K339" s="29">
        <v>1</v>
      </c>
      <c r="L339" s="29"/>
      <c r="M339" s="25" t="s">
        <v>101</v>
      </c>
      <c r="N339" s="59" t="s">
        <v>29</v>
      </c>
      <c r="O339" s="30" t="s">
        <v>36</v>
      </c>
    </row>
    <row r="340" spans="1:15" ht="30.95">
      <c r="A340" s="50">
        <v>29</v>
      </c>
      <c r="B340" s="50" t="s">
        <v>824</v>
      </c>
      <c r="C340" s="50" t="s">
        <v>939</v>
      </c>
      <c r="D340" s="49" t="s">
        <v>940</v>
      </c>
      <c r="E340" s="49" t="s">
        <v>39</v>
      </c>
      <c r="F340" s="50" t="s">
        <v>29</v>
      </c>
      <c r="G340" s="50"/>
      <c r="H340" s="49" t="s">
        <v>941</v>
      </c>
      <c r="I340" s="51"/>
      <c r="J340" s="52" t="s">
        <v>33</v>
      </c>
      <c r="K340" s="52">
        <v>1</v>
      </c>
      <c r="L340" s="52"/>
      <c r="M340" s="53" t="s">
        <v>101</v>
      </c>
      <c r="N340" s="59" t="s">
        <v>18</v>
      </c>
      <c r="O340" s="54" t="s">
        <v>36</v>
      </c>
    </row>
    <row r="341" spans="1:15" ht="108.6">
      <c r="A341" s="6">
        <v>29</v>
      </c>
      <c r="B341" s="6" t="s">
        <v>824</v>
      </c>
      <c r="C341" s="6" t="s">
        <v>942</v>
      </c>
      <c r="D341" s="5" t="s">
        <v>943</v>
      </c>
      <c r="E341" s="5" t="s">
        <v>39</v>
      </c>
      <c r="F341" s="6" t="s">
        <v>29</v>
      </c>
      <c r="G341" s="6"/>
      <c r="H341" s="5" t="s">
        <v>944</v>
      </c>
      <c r="I341" s="12"/>
      <c r="J341" s="29" t="s">
        <v>33</v>
      </c>
      <c r="K341" s="29">
        <v>1</v>
      </c>
      <c r="L341" s="29"/>
      <c r="M341" s="25" t="s">
        <v>101</v>
      </c>
      <c r="N341" s="59" t="s">
        <v>29</v>
      </c>
      <c r="O341" s="30" t="s">
        <v>36</v>
      </c>
    </row>
    <row r="342" spans="1:15" ht="77.45">
      <c r="A342" s="6">
        <v>30</v>
      </c>
      <c r="B342" s="6" t="s">
        <v>824</v>
      </c>
      <c r="C342" s="6" t="s">
        <v>945</v>
      </c>
      <c r="D342" s="5" t="s">
        <v>946</v>
      </c>
      <c r="E342" s="5" t="s">
        <v>39</v>
      </c>
      <c r="F342" s="6" t="s">
        <v>29</v>
      </c>
      <c r="G342" s="6"/>
      <c r="H342" s="5" t="s">
        <v>944</v>
      </c>
      <c r="I342" s="12"/>
      <c r="J342" s="29" t="s">
        <v>33</v>
      </c>
      <c r="K342" s="29">
        <v>1</v>
      </c>
      <c r="L342" s="29"/>
      <c r="M342" s="25" t="s">
        <v>101</v>
      </c>
      <c r="N342" s="59" t="s">
        <v>29</v>
      </c>
      <c r="O342" s="30" t="s">
        <v>36</v>
      </c>
    </row>
    <row r="343" spans="1:15" ht="77.45">
      <c r="A343" s="6">
        <v>30</v>
      </c>
      <c r="B343" s="6" t="s">
        <v>824</v>
      </c>
      <c r="C343" s="6" t="s">
        <v>947</v>
      </c>
      <c r="D343" s="5" t="s">
        <v>948</v>
      </c>
      <c r="E343" s="5" t="s">
        <v>39</v>
      </c>
      <c r="F343" s="6" t="s">
        <v>29</v>
      </c>
      <c r="G343" s="6"/>
      <c r="H343" s="5" t="s">
        <v>944</v>
      </c>
      <c r="I343" s="12"/>
      <c r="J343" s="29" t="s">
        <v>33</v>
      </c>
      <c r="K343" s="29">
        <v>1</v>
      </c>
      <c r="L343" s="29"/>
      <c r="M343" s="25" t="s">
        <v>101</v>
      </c>
      <c r="N343" s="59" t="s">
        <v>29</v>
      </c>
      <c r="O343" s="30" t="s">
        <v>36</v>
      </c>
    </row>
    <row r="344" spans="1:15" ht="77.45">
      <c r="A344" s="6">
        <v>30</v>
      </c>
      <c r="B344" s="6" t="s">
        <v>824</v>
      </c>
      <c r="C344" s="6" t="s">
        <v>949</v>
      </c>
      <c r="D344" s="5" t="s">
        <v>950</v>
      </c>
      <c r="E344" s="5" t="s">
        <v>39</v>
      </c>
      <c r="F344" s="6" t="s">
        <v>29</v>
      </c>
      <c r="G344" s="6"/>
      <c r="H344" s="5" t="s">
        <v>944</v>
      </c>
      <c r="I344" s="12"/>
      <c r="J344" s="29" t="s">
        <v>33</v>
      </c>
      <c r="K344" s="29">
        <v>1</v>
      </c>
      <c r="L344" s="29"/>
      <c r="M344" s="25" t="s">
        <v>101</v>
      </c>
      <c r="N344" s="59" t="s">
        <v>29</v>
      </c>
      <c r="O344" s="30" t="s">
        <v>36</v>
      </c>
    </row>
    <row r="345" spans="1:15" ht="30.95">
      <c r="A345" s="40">
        <v>30</v>
      </c>
      <c r="B345" s="40" t="s">
        <v>824</v>
      </c>
      <c r="C345" s="40" t="s">
        <v>951</v>
      </c>
      <c r="D345" s="38" t="s">
        <v>952</v>
      </c>
      <c r="E345" s="38" t="s">
        <v>39</v>
      </c>
      <c r="F345" s="40" t="s">
        <v>29</v>
      </c>
      <c r="G345" s="40"/>
      <c r="H345" s="38" t="s">
        <v>953</v>
      </c>
      <c r="I345" s="39"/>
      <c r="J345" s="40" t="s">
        <v>33</v>
      </c>
      <c r="K345" s="40">
        <v>1</v>
      </c>
      <c r="L345" s="40"/>
      <c r="M345" s="39" t="s">
        <v>101</v>
      </c>
      <c r="N345" s="59" t="s">
        <v>18</v>
      </c>
      <c r="O345" s="37" t="s">
        <v>36</v>
      </c>
    </row>
    <row r="346" spans="1:15" ht="77.45">
      <c r="A346" s="6">
        <v>30</v>
      </c>
      <c r="B346" s="6" t="s">
        <v>824</v>
      </c>
      <c r="C346" s="6" t="s">
        <v>954</v>
      </c>
      <c r="D346" s="5" t="s">
        <v>955</v>
      </c>
      <c r="E346" s="5" t="s">
        <v>39</v>
      </c>
      <c r="F346" s="6" t="s">
        <v>29</v>
      </c>
      <c r="G346" s="6"/>
      <c r="H346" s="5" t="s">
        <v>956</v>
      </c>
      <c r="I346" s="12"/>
      <c r="J346" s="29" t="s">
        <v>33</v>
      </c>
      <c r="K346" s="29">
        <v>1</v>
      </c>
      <c r="L346" s="29"/>
      <c r="M346" s="25" t="s">
        <v>101</v>
      </c>
      <c r="N346" s="59" t="s">
        <v>29</v>
      </c>
      <c r="O346" s="30" t="s">
        <v>36</v>
      </c>
    </row>
    <row r="347" spans="1:15" ht="77.45">
      <c r="A347" s="6">
        <v>30</v>
      </c>
      <c r="B347" s="6" t="s">
        <v>824</v>
      </c>
      <c r="C347" s="6" t="s">
        <v>957</v>
      </c>
      <c r="D347" s="5" t="s">
        <v>958</v>
      </c>
      <c r="E347" s="5" t="s">
        <v>39</v>
      </c>
      <c r="F347" s="6" t="s">
        <v>29</v>
      </c>
      <c r="G347" s="6"/>
      <c r="H347" s="5" t="s">
        <v>956</v>
      </c>
      <c r="I347" s="12"/>
      <c r="J347" s="29" t="s">
        <v>33</v>
      </c>
      <c r="K347" s="29">
        <v>1</v>
      </c>
      <c r="L347" s="29"/>
      <c r="M347" s="25" t="s">
        <v>101</v>
      </c>
      <c r="N347" s="59" t="s">
        <v>29</v>
      </c>
      <c r="O347" s="30" t="s">
        <v>36</v>
      </c>
    </row>
    <row r="348" spans="1:15" ht="77.45">
      <c r="A348" s="6">
        <v>30</v>
      </c>
      <c r="B348" s="6" t="s">
        <v>824</v>
      </c>
      <c r="C348" s="6" t="s">
        <v>959</v>
      </c>
      <c r="D348" s="5" t="s">
        <v>960</v>
      </c>
      <c r="E348" s="5" t="s">
        <v>39</v>
      </c>
      <c r="F348" s="6" t="s">
        <v>29</v>
      </c>
      <c r="G348" s="6"/>
      <c r="H348" s="5" t="s">
        <v>956</v>
      </c>
      <c r="I348" s="12"/>
      <c r="J348" s="29" t="s">
        <v>33</v>
      </c>
      <c r="K348" s="29">
        <v>1</v>
      </c>
      <c r="L348" s="29"/>
      <c r="M348" s="25" t="s">
        <v>101</v>
      </c>
      <c r="N348" s="59" t="s">
        <v>29</v>
      </c>
      <c r="O348" s="30" t="s">
        <v>36</v>
      </c>
    </row>
    <row r="349" spans="1:15" ht="77.45">
      <c r="A349" s="6">
        <v>30</v>
      </c>
      <c r="B349" s="6" t="s">
        <v>824</v>
      </c>
      <c r="C349" s="6" t="s">
        <v>961</v>
      </c>
      <c r="D349" s="5" t="s">
        <v>962</v>
      </c>
      <c r="E349" s="5" t="s">
        <v>39</v>
      </c>
      <c r="F349" s="6" t="s">
        <v>29</v>
      </c>
      <c r="G349" s="6"/>
      <c r="H349" s="5" t="s">
        <v>956</v>
      </c>
      <c r="I349" s="12"/>
      <c r="J349" s="29" t="s">
        <v>33</v>
      </c>
      <c r="K349" s="29">
        <v>1</v>
      </c>
      <c r="L349" s="29"/>
      <c r="M349" s="25" t="s">
        <v>101</v>
      </c>
      <c r="N349" s="59" t="s">
        <v>29</v>
      </c>
      <c r="O349" s="30" t="s">
        <v>36</v>
      </c>
    </row>
    <row r="350" spans="1:15" ht="30.95">
      <c r="A350" s="40">
        <v>30</v>
      </c>
      <c r="B350" s="40" t="s">
        <v>824</v>
      </c>
      <c r="C350" s="40" t="s">
        <v>963</v>
      </c>
      <c r="D350" s="38" t="s">
        <v>964</v>
      </c>
      <c r="E350" s="38" t="s">
        <v>39</v>
      </c>
      <c r="F350" s="40" t="s">
        <v>29</v>
      </c>
      <c r="G350" s="40"/>
      <c r="H350" s="38" t="s">
        <v>965</v>
      </c>
      <c r="I350" s="39"/>
      <c r="J350" s="40" t="s">
        <v>33</v>
      </c>
      <c r="K350" s="40">
        <v>1</v>
      </c>
      <c r="L350" s="40"/>
      <c r="M350" s="39" t="s">
        <v>101</v>
      </c>
      <c r="N350" s="59" t="s">
        <v>18</v>
      </c>
      <c r="O350" s="37" t="s">
        <v>36</v>
      </c>
    </row>
    <row r="351" spans="1:15" ht="77.45">
      <c r="A351" s="6">
        <v>30</v>
      </c>
      <c r="B351" s="6" t="s">
        <v>824</v>
      </c>
      <c r="C351" s="6" t="s">
        <v>966</v>
      </c>
      <c r="D351" s="5" t="s">
        <v>967</v>
      </c>
      <c r="E351" s="5" t="s">
        <v>39</v>
      </c>
      <c r="F351" s="6" t="s">
        <v>29</v>
      </c>
      <c r="G351" s="6"/>
      <c r="H351" s="5" t="s">
        <v>968</v>
      </c>
      <c r="I351" s="12"/>
      <c r="J351" s="29" t="s">
        <v>33</v>
      </c>
      <c r="K351" s="29">
        <v>1</v>
      </c>
      <c r="L351" s="29"/>
      <c r="M351" s="25" t="s">
        <v>101</v>
      </c>
      <c r="N351" s="59" t="s">
        <v>29</v>
      </c>
      <c r="O351" s="30" t="s">
        <v>36</v>
      </c>
    </row>
    <row r="352" spans="1:15" ht="62.1">
      <c r="A352" s="6">
        <v>30</v>
      </c>
      <c r="B352" s="6" t="s">
        <v>824</v>
      </c>
      <c r="C352" s="6" t="s">
        <v>969</v>
      </c>
      <c r="D352" s="5" t="s">
        <v>970</v>
      </c>
      <c r="E352" s="5" t="s">
        <v>39</v>
      </c>
      <c r="F352" s="6" t="s">
        <v>29</v>
      </c>
      <c r="G352" s="6"/>
      <c r="H352" s="5" t="s">
        <v>968</v>
      </c>
      <c r="I352" s="12"/>
      <c r="J352" s="29" t="s">
        <v>33</v>
      </c>
      <c r="K352" s="29">
        <v>1</v>
      </c>
      <c r="L352" s="29"/>
      <c r="M352" s="25" t="s">
        <v>101</v>
      </c>
      <c r="N352" s="59" t="s">
        <v>29</v>
      </c>
      <c r="O352" s="30" t="s">
        <v>36</v>
      </c>
    </row>
    <row r="353" spans="1:15" ht="46.5">
      <c r="A353" s="6">
        <v>30</v>
      </c>
      <c r="B353" s="6" t="s">
        <v>824</v>
      </c>
      <c r="C353" s="6" t="s">
        <v>971</v>
      </c>
      <c r="D353" s="5" t="s">
        <v>972</v>
      </c>
      <c r="E353" s="5" t="s">
        <v>39</v>
      </c>
      <c r="F353" s="6" t="s">
        <v>29</v>
      </c>
      <c r="G353" s="6"/>
      <c r="H353" s="5" t="s">
        <v>973</v>
      </c>
      <c r="I353" s="12"/>
      <c r="J353" s="29" t="s">
        <v>33</v>
      </c>
      <c r="K353" s="29">
        <v>1</v>
      </c>
      <c r="L353" s="29"/>
      <c r="M353" s="25" t="s">
        <v>101</v>
      </c>
      <c r="N353" s="59" t="s">
        <v>29</v>
      </c>
      <c r="O353" s="30" t="s">
        <v>36</v>
      </c>
    </row>
    <row r="354" spans="1:15" ht="46.5">
      <c r="A354" s="6">
        <v>30</v>
      </c>
      <c r="B354" s="6" t="s">
        <v>824</v>
      </c>
      <c r="C354" s="6" t="s">
        <v>974</v>
      </c>
      <c r="D354" s="5" t="s">
        <v>975</v>
      </c>
      <c r="E354" s="5" t="s">
        <v>39</v>
      </c>
      <c r="F354" s="6" t="s">
        <v>29</v>
      </c>
      <c r="G354" s="6"/>
      <c r="H354" s="5" t="s">
        <v>976</v>
      </c>
      <c r="I354" s="12"/>
      <c r="J354" s="29" t="s">
        <v>33</v>
      </c>
      <c r="K354" s="29">
        <v>1</v>
      </c>
      <c r="L354" s="29"/>
      <c r="M354" s="25" t="s">
        <v>101</v>
      </c>
      <c r="N354" s="59" t="s">
        <v>29</v>
      </c>
      <c r="O354" s="30" t="s">
        <v>36</v>
      </c>
    </row>
    <row r="355" spans="1:15" ht="46.5">
      <c r="A355" s="6">
        <v>30</v>
      </c>
      <c r="B355" s="6" t="s">
        <v>824</v>
      </c>
      <c r="C355" s="6" t="s">
        <v>977</v>
      </c>
      <c r="D355" s="5" t="s">
        <v>978</v>
      </c>
      <c r="E355" s="5" t="s">
        <v>39</v>
      </c>
      <c r="F355" s="6" t="s">
        <v>29</v>
      </c>
      <c r="G355" s="6"/>
      <c r="H355" s="5" t="s">
        <v>979</v>
      </c>
      <c r="I355" s="12"/>
      <c r="J355" s="29" t="s">
        <v>33</v>
      </c>
      <c r="K355" s="29">
        <v>1</v>
      </c>
      <c r="L355" s="29"/>
      <c r="M355" s="25" t="s">
        <v>101</v>
      </c>
      <c r="N355" s="59" t="s">
        <v>29</v>
      </c>
      <c r="O355" s="30" t="s">
        <v>36</v>
      </c>
    </row>
    <row r="356" spans="1:15" ht="46.5">
      <c r="A356" s="6">
        <v>30</v>
      </c>
      <c r="B356" s="6" t="s">
        <v>824</v>
      </c>
      <c r="C356" s="6" t="s">
        <v>980</v>
      </c>
      <c r="D356" s="5" t="s">
        <v>981</v>
      </c>
      <c r="E356" s="5" t="s">
        <v>39</v>
      </c>
      <c r="F356" s="6" t="s">
        <v>29</v>
      </c>
      <c r="G356" s="6"/>
      <c r="H356" s="5" t="s">
        <v>973</v>
      </c>
      <c r="I356" s="12"/>
      <c r="J356" s="29" t="s">
        <v>33</v>
      </c>
      <c r="K356" s="29">
        <v>1</v>
      </c>
      <c r="L356" s="29"/>
      <c r="M356" s="25" t="s">
        <v>101</v>
      </c>
      <c r="N356" s="59" t="s">
        <v>29</v>
      </c>
      <c r="O356" s="30" t="s">
        <v>36</v>
      </c>
    </row>
    <row r="357" spans="1:15" ht="30.95">
      <c r="A357" s="40">
        <v>30</v>
      </c>
      <c r="B357" s="40" t="s">
        <v>824</v>
      </c>
      <c r="C357" s="40" t="s">
        <v>982</v>
      </c>
      <c r="D357" s="38" t="s">
        <v>983</v>
      </c>
      <c r="E357" s="38" t="s">
        <v>39</v>
      </c>
      <c r="F357" s="40" t="s">
        <v>62</v>
      </c>
      <c r="G357" s="40"/>
      <c r="H357" s="38" t="s">
        <v>984</v>
      </c>
      <c r="I357" s="39"/>
      <c r="J357" s="40" t="s">
        <v>33</v>
      </c>
      <c r="K357" s="40">
        <v>2</v>
      </c>
      <c r="L357" s="40"/>
      <c r="M357" s="39" t="s">
        <v>985</v>
      </c>
      <c r="N357" s="60"/>
      <c r="O357" s="37" t="s">
        <v>18</v>
      </c>
    </row>
    <row r="358" spans="1:15" ht="77.45">
      <c r="A358" s="6">
        <v>30</v>
      </c>
      <c r="B358" s="6" t="s">
        <v>824</v>
      </c>
      <c r="C358" s="6" t="s">
        <v>692</v>
      </c>
      <c r="D358" s="5" t="s">
        <v>986</v>
      </c>
      <c r="E358" s="5" t="s">
        <v>39</v>
      </c>
      <c r="F358" s="6" t="s">
        <v>62</v>
      </c>
      <c r="G358" s="6"/>
      <c r="H358" s="5" t="s">
        <v>987</v>
      </c>
      <c r="I358" s="12"/>
      <c r="J358" s="29" t="s">
        <v>33</v>
      </c>
      <c r="K358" s="29">
        <v>2</v>
      </c>
      <c r="L358" s="29"/>
      <c r="M358" s="25" t="s">
        <v>985</v>
      </c>
      <c r="N358" s="15" t="s">
        <v>988</v>
      </c>
      <c r="O358" s="30" t="s">
        <v>18</v>
      </c>
    </row>
    <row r="359" spans="1:15" ht="30.95">
      <c r="A359" s="40">
        <v>30</v>
      </c>
      <c r="B359" s="40" t="s">
        <v>824</v>
      </c>
      <c r="C359" s="40" t="s">
        <v>710</v>
      </c>
      <c r="D359" s="38" t="s">
        <v>989</v>
      </c>
      <c r="E359" s="38" t="s">
        <v>39</v>
      </c>
      <c r="F359" s="40" t="s">
        <v>62</v>
      </c>
      <c r="G359" s="40"/>
      <c r="H359" s="38" t="s">
        <v>990</v>
      </c>
      <c r="I359" s="39"/>
      <c r="J359" s="40" t="s">
        <v>33</v>
      </c>
      <c r="K359" s="40">
        <v>2</v>
      </c>
      <c r="L359" s="40"/>
      <c r="M359" s="39" t="s">
        <v>985</v>
      </c>
      <c r="N359" s="60"/>
      <c r="O359" s="37" t="s">
        <v>18</v>
      </c>
    </row>
    <row r="360" spans="1:15" ht="46.5">
      <c r="A360" s="6">
        <v>30</v>
      </c>
      <c r="B360" s="6" t="s">
        <v>824</v>
      </c>
      <c r="C360" s="6" t="s">
        <v>713</v>
      </c>
      <c r="D360" s="5" t="s">
        <v>991</v>
      </c>
      <c r="E360" s="5" t="s">
        <v>39</v>
      </c>
      <c r="F360" s="6" t="s">
        <v>62</v>
      </c>
      <c r="G360" s="6"/>
      <c r="H360" s="5" t="s">
        <v>987</v>
      </c>
      <c r="I360" s="12"/>
      <c r="J360" s="29" t="s">
        <v>33</v>
      </c>
      <c r="K360" s="29">
        <v>2</v>
      </c>
      <c r="L360" s="29"/>
      <c r="M360" s="25" t="s">
        <v>985</v>
      </c>
      <c r="N360" s="15" t="s">
        <v>988</v>
      </c>
      <c r="O360" s="30" t="s">
        <v>18</v>
      </c>
    </row>
    <row r="361" spans="1:15" ht="93">
      <c r="A361" s="6">
        <v>30</v>
      </c>
      <c r="B361" s="6" t="s">
        <v>824</v>
      </c>
      <c r="C361" s="6" t="s">
        <v>716</v>
      </c>
      <c r="D361" s="5" t="s">
        <v>992</v>
      </c>
      <c r="E361" s="5" t="s">
        <v>39</v>
      </c>
      <c r="F361" s="6" t="s">
        <v>62</v>
      </c>
      <c r="G361" s="6"/>
      <c r="H361" s="5" t="s">
        <v>987</v>
      </c>
      <c r="I361" s="12"/>
      <c r="J361" s="29" t="s">
        <v>33</v>
      </c>
      <c r="K361" s="29">
        <v>2</v>
      </c>
      <c r="L361" s="29"/>
      <c r="M361" s="25" t="s">
        <v>985</v>
      </c>
      <c r="N361" s="15" t="s">
        <v>988</v>
      </c>
      <c r="O361" s="30" t="s">
        <v>18</v>
      </c>
    </row>
    <row r="362" spans="1:15" ht="108.6">
      <c r="A362" s="6">
        <v>31</v>
      </c>
      <c r="B362" s="6" t="s">
        <v>824</v>
      </c>
      <c r="C362" s="6" t="s">
        <v>719</v>
      </c>
      <c r="D362" s="5" t="s">
        <v>993</v>
      </c>
      <c r="E362" s="5" t="s">
        <v>39</v>
      </c>
      <c r="F362" s="6" t="s">
        <v>62</v>
      </c>
      <c r="G362" s="6"/>
      <c r="H362" s="5" t="s">
        <v>987</v>
      </c>
      <c r="I362" s="12"/>
      <c r="J362" s="29" t="s">
        <v>33</v>
      </c>
      <c r="K362" s="29">
        <v>2</v>
      </c>
      <c r="L362" s="29"/>
      <c r="M362" s="25" t="s">
        <v>985</v>
      </c>
      <c r="N362" s="15" t="s">
        <v>988</v>
      </c>
      <c r="O362" s="30" t="s">
        <v>18</v>
      </c>
    </row>
    <row r="363" spans="1:15" ht="30.95">
      <c r="A363" s="40">
        <v>31</v>
      </c>
      <c r="B363" s="40" t="s">
        <v>824</v>
      </c>
      <c r="C363" s="40" t="s">
        <v>994</v>
      </c>
      <c r="D363" s="38" t="s">
        <v>995</v>
      </c>
      <c r="E363" s="38" t="s">
        <v>39</v>
      </c>
      <c r="F363" s="40" t="s">
        <v>62</v>
      </c>
      <c r="G363" s="40"/>
      <c r="H363" s="38" t="s">
        <v>996</v>
      </c>
      <c r="I363" s="39"/>
      <c r="J363" s="40" t="s">
        <v>33</v>
      </c>
      <c r="K363" s="40">
        <v>2</v>
      </c>
      <c r="L363" s="40"/>
      <c r="M363" s="39" t="s">
        <v>985</v>
      </c>
      <c r="N363" s="60"/>
      <c r="O363" s="37" t="s">
        <v>18</v>
      </c>
    </row>
    <row r="364" spans="1:15" ht="62.1">
      <c r="A364" s="6">
        <v>31</v>
      </c>
      <c r="B364" s="6" t="s">
        <v>824</v>
      </c>
      <c r="C364" s="6" t="s">
        <v>997</v>
      </c>
      <c r="D364" s="5" t="s">
        <v>998</v>
      </c>
      <c r="E364" s="5" t="s">
        <v>39</v>
      </c>
      <c r="F364" s="6" t="s">
        <v>62</v>
      </c>
      <c r="G364" s="6"/>
      <c r="H364" s="5" t="s">
        <v>987</v>
      </c>
      <c r="I364" s="12"/>
      <c r="J364" s="29" t="s">
        <v>33</v>
      </c>
      <c r="K364" s="29">
        <v>2</v>
      </c>
      <c r="L364" s="29"/>
      <c r="M364" s="25" t="s">
        <v>985</v>
      </c>
      <c r="N364" s="15" t="s">
        <v>988</v>
      </c>
      <c r="O364" s="30" t="s">
        <v>18</v>
      </c>
    </row>
    <row r="365" spans="1:15" ht="30.95">
      <c r="A365" s="6">
        <v>31</v>
      </c>
      <c r="B365" s="6" t="s">
        <v>824</v>
      </c>
      <c r="C365" s="6" t="s">
        <v>999</v>
      </c>
      <c r="D365" s="5" t="s">
        <v>1000</v>
      </c>
      <c r="E365" s="5" t="s">
        <v>39</v>
      </c>
      <c r="F365" s="6" t="s">
        <v>62</v>
      </c>
      <c r="G365" s="6"/>
      <c r="H365" s="5" t="s">
        <v>987</v>
      </c>
      <c r="I365" s="12"/>
      <c r="J365" s="29" t="s">
        <v>33</v>
      </c>
      <c r="K365" s="29">
        <v>2</v>
      </c>
      <c r="L365" s="29"/>
      <c r="M365" s="25" t="s">
        <v>985</v>
      </c>
      <c r="N365" s="15" t="s">
        <v>988</v>
      </c>
      <c r="O365" s="30" t="s">
        <v>18</v>
      </c>
    </row>
    <row r="366" spans="1:15" ht="30.95">
      <c r="A366" s="6">
        <v>31</v>
      </c>
      <c r="B366" s="6" t="s">
        <v>824</v>
      </c>
      <c r="C366" s="6" t="s">
        <v>1001</v>
      </c>
      <c r="D366" s="5" t="s">
        <v>1002</v>
      </c>
      <c r="E366" s="5" t="s">
        <v>39</v>
      </c>
      <c r="F366" s="6" t="s">
        <v>62</v>
      </c>
      <c r="G366" s="6"/>
      <c r="H366" s="5" t="s">
        <v>987</v>
      </c>
      <c r="I366" s="12"/>
      <c r="J366" s="29" t="s">
        <v>33</v>
      </c>
      <c r="K366" s="29">
        <v>2</v>
      </c>
      <c r="L366" s="29"/>
      <c r="M366" s="25" t="s">
        <v>985</v>
      </c>
      <c r="N366" s="15" t="s">
        <v>988</v>
      </c>
      <c r="O366" s="30" t="s">
        <v>18</v>
      </c>
    </row>
    <row r="367" spans="1:15" ht="30.95">
      <c r="A367" s="6">
        <v>31</v>
      </c>
      <c r="B367" s="6" t="s">
        <v>824</v>
      </c>
      <c r="C367" s="6" t="s">
        <v>1003</v>
      </c>
      <c r="D367" s="5" t="s">
        <v>1004</v>
      </c>
      <c r="E367" s="5" t="s">
        <v>39</v>
      </c>
      <c r="F367" s="6" t="s">
        <v>62</v>
      </c>
      <c r="G367" s="6"/>
      <c r="H367" s="5" t="s">
        <v>987</v>
      </c>
      <c r="I367" s="12"/>
      <c r="J367" s="29" t="s">
        <v>33</v>
      </c>
      <c r="K367" s="29">
        <v>2</v>
      </c>
      <c r="L367" s="29"/>
      <c r="M367" s="25" t="s">
        <v>985</v>
      </c>
      <c r="N367" s="15" t="s">
        <v>988</v>
      </c>
      <c r="O367" s="30" t="s">
        <v>18</v>
      </c>
    </row>
    <row r="368" spans="1:15" ht="46.5">
      <c r="A368" s="6">
        <v>31</v>
      </c>
      <c r="B368" s="6" t="s">
        <v>824</v>
      </c>
      <c r="C368" s="6" t="s">
        <v>1005</v>
      </c>
      <c r="D368" s="5" t="s">
        <v>1006</v>
      </c>
      <c r="E368" s="5" t="s">
        <v>39</v>
      </c>
      <c r="F368" s="6" t="s">
        <v>62</v>
      </c>
      <c r="G368" s="6"/>
      <c r="H368" s="5" t="s">
        <v>987</v>
      </c>
      <c r="I368" s="12"/>
      <c r="J368" s="29" t="s">
        <v>33</v>
      </c>
      <c r="K368" s="29">
        <v>2</v>
      </c>
      <c r="L368" s="29"/>
      <c r="M368" s="25" t="s">
        <v>985</v>
      </c>
      <c r="N368" s="15" t="s">
        <v>988</v>
      </c>
      <c r="O368" s="30" t="s">
        <v>18</v>
      </c>
    </row>
    <row r="369" spans="1:15" ht="30.95">
      <c r="A369" s="40">
        <v>31</v>
      </c>
      <c r="B369" s="40" t="s">
        <v>824</v>
      </c>
      <c r="C369" s="40" t="s">
        <v>1007</v>
      </c>
      <c r="D369" s="38" t="s">
        <v>1008</v>
      </c>
      <c r="E369" s="38" t="s">
        <v>39</v>
      </c>
      <c r="F369" s="40" t="s">
        <v>62</v>
      </c>
      <c r="G369" s="40"/>
      <c r="H369" s="38" t="s">
        <v>1009</v>
      </c>
      <c r="I369" s="39"/>
      <c r="J369" s="40" t="s">
        <v>33</v>
      </c>
      <c r="K369" s="40">
        <v>2</v>
      </c>
      <c r="L369" s="40"/>
      <c r="M369" s="39" t="s">
        <v>985</v>
      </c>
      <c r="N369" s="60"/>
      <c r="O369" s="37" t="s">
        <v>18</v>
      </c>
    </row>
    <row r="370" spans="1:15" ht="30.95">
      <c r="A370" s="6">
        <v>31</v>
      </c>
      <c r="B370" s="6" t="s">
        <v>824</v>
      </c>
      <c r="C370" s="6" t="s">
        <v>1010</v>
      </c>
      <c r="D370" s="5" t="s">
        <v>1011</v>
      </c>
      <c r="E370" s="5" t="s">
        <v>39</v>
      </c>
      <c r="F370" s="6" t="s">
        <v>62</v>
      </c>
      <c r="G370" s="6"/>
      <c r="H370" s="5" t="s">
        <v>1012</v>
      </c>
      <c r="I370" s="12"/>
      <c r="J370" s="29" t="s">
        <v>33</v>
      </c>
      <c r="K370" s="29">
        <v>2</v>
      </c>
      <c r="L370" s="29"/>
      <c r="M370" s="25" t="s">
        <v>985</v>
      </c>
      <c r="N370" s="15" t="s">
        <v>988</v>
      </c>
      <c r="O370" s="30" t="s">
        <v>18</v>
      </c>
    </row>
    <row r="371" spans="1:15" ht="62.1">
      <c r="A371" s="6">
        <v>31</v>
      </c>
      <c r="B371" s="6" t="s">
        <v>824</v>
      </c>
      <c r="C371" s="6" t="s">
        <v>1013</v>
      </c>
      <c r="D371" s="5" t="s">
        <v>1014</v>
      </c>
      <c r="E371" s="5" t="s">
        <v>39</v>
      </c>
      <c r="F371" s="6" t="s">
        <v>62</v>
      </c>
      <c r="G371" s="6"/>
      <c r="H371" s="5" t="s">
        <v>1015</v>
      </c>
      <c r="I371" s="12"/>
      <c r="J371" s="29" t="s">
        <v>33</v>
      </c>
      <c r="K371" s="29">
        <v>2</v>
      </c>
      <c r="L371" s="29"/>
      <c r="M371" s="25" t="s">
        <v>985</v>
      </c>
      <c r="N371" s="15" t="s">
        <v>988</v>
      </c>
      <c r="O371" s="30" t="s">
        <v>18</v>
      </c>
    </row>
    <row r="372" spans="1:15" ht="62.1">
      <c r="A372" s="6">
        <v>31</v>
      </c>
      <c r="B372" s="6" t="s">
        <v>824</v>
      </c>
      <c r="C372" s="6" t="s">
        <v>1016</v>
      </c>
      <c r="D372" s="5" t="s">
        <v>1017</v>
      </c>
      <c r="E372" s="5" t="s">
        <v>39</v>
      </c>
      <c r="F372" s="6" t="s">
        <v>62</v>
      </c>
      <c r="G372" s="6"/>
      <c r="H372" s="5" t="s">
        <v>1015</v>
      </c>
      <c r="I372" s="12"/>
      <c r="J372" s="29" t="s">
        <v>33</v>
      </c>
      <c r="K372" s="29">
        <v>2</v>
      </c>
      <c r="L372" s="29"/>
      <c r="M372" s="25" t="s">
        <v>985</v>
      </c>
      <c r="N372" s="15" t="s">
        <v>988</v>
      </c>
      <c r="O372" s="30" t="s">
        <v>18</v>
      </c>
    </row>
    <row r="373" spans="1:15" ht="62.1">
      <c r="A373" s="6">
        <v>31</v>
      </c>
      <c r="B373" s="6" t="s">
        <v>824</v>
      </c>
      <c r="C373" s="6" t="s">
        <v>1018</v>
      </c>
      <c r="D373" s="5" t="s">
        <v>1019</v>
      </c>
      <c r="E373" s="5" t="s">
        <v>39</v>
      </c>
      <c r="F373" s="6" t="s">
        <v>62</v>
      </c>
      <c r="G373" s="6"/>
      <c r="H373" s="5" t="s">
        <v>1015</v>
      </c>
      <c r="I373" s="12"/>
      <c r="J373" s="29" t="s">
        <v>33</v>
      </c>
      <c r="K373" s="29">
        <v>2</v>
      </c>
      <c r="L373" s="29"/>
      <c r="M373" s="25" t="s">
        <v>985</v>
      </c>
      <c r="N373" s="15" t="s">
        <v>988</v>
      </c>
      <c r="O373" s="30" t="s">
        <v>18</v>
      </c>
    </row>
    <row r="374" spans="1:15" ht="62.1">
      <c r="A374" s="6">
        <v>31</v>
      </c>
      <c r="B374" s="6" t="s">
        <v>824</v>
      </c>
      <c r="C374" s="6" t="s">
        <v>1020</v>
      </c>
      <c r="D374" s="5" t="s">
        <v>1021</v>
      </c>
      <c r="E374" s="5" t="s">
        <v>39</v>
      </c>
      <c r="F374" s="6" t="s">
        <v>62</v>
      </c>
      <c r="G374" s="6"/>
      <c r="H374" s="5" t="s">
        <v>1022</v>
      </c>
      <c r="I374" s="12"/>
      <c r="J374" s="29" t="s">
        <v>33</v>
      </c>
      <c r="K374" s="29">
        <v>2</v>
      </c>
      <c r="L374" s="29"/>
      <c r="M374" s="25" t="s">
        <v>985</v>
      </c>
      <c r="N374" s="15" t="s">
        <v>988</v>
      </c>
      <c r="O374" s="30" t="s">
        <v>18</v>
      </c>
    </row>
    <row r="375" spans="1:15" ht="30.95">
      <c r="A375" s="40">
        <v>31</v>
      </c>
      <c r="B375" s="40" t="s">
        <v>824</v>
      </c>
      <c r="C375" s="40" t="s">
        <v>1023</v>
      </c>
      <c r="D375" s="38" t="s">
        <v>1024</v>
      </c>
      <c r="E375" s="38" t="s">
        <v>39</v>
      </c>
      <c r="F375" s="40" t="s">
        <v>62</v>
      </c>
      <c r="G375" s="40"/>
      <c r="H375" s="38" t="s">
        <v>1025</v>
      </c>
      <c r="I375" s="39"/>
      <c r="J375" s="40" t="s">
        <v>33</v>
      </c>
      <c r="K375" s="40">
        <v>2</v>
      </c>
      <c r="L375" s="40"/>
      <c r="M375" s="39" t="s">
        <v>985</v>
      </c>
      <c r="N375" s="60"/>
      <c r="O375" s="37" t="s">
        <v>18</v>
      </c>
    </row>
    <row r="376" spans="1:15" ht="46.5">
      <c r="A376" s="6">
        <v>31</v>
      </c>
      <c r="B376" s="6" t="s">
        <v>824</v>
      </c>
      <c r="C376" s="6" t="s">
        <v>1026</v>
      </c>
      <c r="D376" s="5" t="s">
        <v>1027</v>
      </c>
      <c r="E376" s="5" t="s">
        <v>39</v>
      </c>
      <c r="F376" s="6" t="s">
        <v>62</v>
      </c>
      <c r="G376" s="6"/>
      <c r="H376" s="5" t="s">
        <v>987</v>
      </c>
      <c r="I376" s="12"/>
      <c r="J376" s="29" t="s">
        <v>33</v>
      </c>
      <c r="K376" s="29">
        <v>2</v>
      </c>
      <c r="L376" s="29"/>
      <c r="M376" s="25" t="s">
        <v>985</v>
      </c>
      <c r="N376" s="15" t="s">
        <v>988</v>
      </c>
      <c r="O376" s="30" t="s">
        <v>18</v>
      </c>
    </row>
    <row r="377" spans="1:15" ht="30.95">
      <c r="A377" s="6">
        <v>31</v>
      </c>
      <c r="B377" s="6" t="s">
        <v>824</v>
      </c>
      <c r="C377" s="6" t="s">
        <v>1028</v>
      </c>
      <c r="D377" s="5" t="s">
        <v>1029</v>
      </c>
      <c r="E377" s="5" t="s">
        <v>39</v>
      </c>
      <c r="F377" s="6" t="s">
        <v>62</v>
      </c>
      <c r="G377" s="6"/>
      <c r="H377" s="5" t="s">
        <v>987</v>
      </c>
      <c r="I377" s="12"/>
      <c r="J377" s="29" t="s">
        <v>33</v>
      </c>
      <c r="K377" s="29">
        <v>2</v>
      </c>
      <c r="L377" s="29"/>
      <c r="M377" s="25" t="s">
        <v>985</v>
      </c>
      <c r="N377" s="15" t="s">
        <v>988</v>
      </c>
      <c r="O377" s="30" t="s">
        <v>18</v>
      </c>
    </row>
    <row r="378" spans="1:15" ht="30.95">
      <c r="A378" s="6">
        <v>31</v>
      </c>
      <c r="B378" s="6" t="s">
        <v>824</v>
      </c>
      <c r="C378" s="6" t="s">
        <v>1030</v>
      </c>
      <c r="D378" s="5" t="s">
        <v>1031</v>
      </c>
      <c r="E378" s="5" t="s">
        <v>39</v>
      </c>
      <c r="F378" s="6" t="s">
        <v>62</v>
      </c>
      <c r="G378" s="6"/>
      <c r="H378" s="5" t="s">
        <v>987</v>
      </c>
      <c r="I378" s="12"/>
      <c r="J378" s="29" t="s">
        <v>33</v>
      </c>
      <c r="K378" s="29">
        <v>2</v>
      </c>
      <c r="L378" s="29"/>
      <c r="M378" s="25" t="s">
        <v>985</v>
      </c>
      <c r="N378" s="15" t="s">
        <v>988</v>
      </c>
      <c r="O378" s="30" t="s">
        <v>18</v>
      </c>
    </row>
    <row r="379" spans="1:15" ht="30.95">
      <c r="A379" s="40">
        <v>31</v>
      </c>
      <c r="B379" s="40" t="s">
        <v>824</v>
      </c>
      <c r="C379" s="40" t="s">
        <v>1032</v>
      </c>
      <c r="D379" s="38" t="s">
        <v>1033</v>
      </c>
      <c r="E379" s="38" t="s">
        <v>39</v>
      </c>
      <c r="F379" s="40" t="s">
        <v>62</v>
      </c>
      <c r="G379" s="40"/>
      <c r="H379" s="38" t="s">
        <v>1034</v>
      </c>
      <c r="I379" s="39"/>
      <c r="J379" s="40" t="s">
        <v>33</v>
      </c>
      <c r="K379" s="40">
        <v>2</v>
      </c>
      <c r="L379" s="40"/>
      <c r="M379" s="39" t="s">
        <v>985</v>
      </c>
      <c r="N379" s="60"/>
      <c r="O379" s="37" t="s">
        <v>18</v>
      </c>
    </row>
    <row r="380" spans="1:15" ht="46.5">
      <c r="A380" s="6">
        <v>31</v>
      </c>
      <c r="B380" s="6" t="s">
        <v>824</v>
      </c>
      <c r="C380" s="6" t="s">
        <v>1035</v>
      </c>
      <c r="D380" s="5" t="s">
        <v>1036</v>
      </c>
      <c r="E380" s="5" t="s">
        <v>39</v>
      </c>
      <c r="F380" s="6" t="s">
        <v>62</v>
      </c>
      <c r="G380" s="6"/>
      <c r="H380" s="5" t="s">
        <v>987</v>
      </c>
      <c r="I380" s="12"/>
      <c r="J380" s="29" t="s">
        <v>33</v>
      </c>
      <c r="K380" s="29">
        <v>2</v>
      </c>
      <c r="L380" s="29"/>
      <c r="M380" s="25" t="s">
        <v>985</v>
      </c>
      <c r="N380" s="15" t="s">
        <v>988</v>
      </c>
      <c r="O380" s="30" t="s">
        <v>18</v>
      </c>
    </row>
    <row r="381" spans="1:15" ht="30.95">
      <c r="A381" s="6">
        <v>31</v>
      </c>
      <c r="B381" s="6" t="s">
        <v>824</v>
      </c>
      <c r="C381" s="6" t="s">
        <v>1037</v>
      </c>
      <c r="D381" s="5" t="s">
        <v>1038</v>
      </c>
      <c r="E381" s="5" t="s">
        <v>39</v>
      </c>
      <c r="F381" s="6" t="s">
        <v>62</v>
      </c>
      <c r="G381" s="6"/>
      <c r="H381" s="5" t="s">
        <v>987</v>
      </c>
      <c r="I381" s="12"/>
      <c r="J381" s="29" t="s">
        <v>33</v>
      </c>
      <c r="K381" s="29">
        <v>2</v>
      </c>
      <c r="L381" s="29"/>
      <c r="M381" s="25" t="s">
        <v>985</v>
      </c>
      <c r="N381" s="15" t="s">
        <v>988</v>
      </c>
      <c r="O381" s="30" t="s">
        <v>18</v>
      </c>
    </row>
    <row r="382" spans="1:15" ht="30.95">
      <c r="A382" s="6">
        <v>31</v>
      </c>
      <c r="B382" s="6" t="s">
        <v>824</v>
      </c>
      <c r="C382" s="6" t="s">
        <v>1039</v>
      </c>
      <c r="D382" s="5" t="s">
        <v>1040</v>
      </c>
      <c r="E382" s="5" t="s">
        <v>39</v>
      </c>
      <c r="F382" s="6" t="s">
        <v>62</v>
      </c>
      <c r="G382" s="6"/>
      <c r="H382" s="5" t="s">
        <v>987</v>
      </c>
      <c r="I382" s="12"/>
      <c r="J382" s="29" t="s">
        <v>33</v>
      </c>
      <c r="K382" s="29">
        <v>2</v>
      </c>
      <c r="L382" s="29"/>
      <c r="M382" s="25" t="s">
        <v>985</v>
      </c>
      <c r="N382" s="15" t="s">
        <v>988</v>
      </c>
      <c r="O382" s="30" t="s">
        <v>18</v>
      </c>
    </row>
    <row r="383" spans="1:15" ht="77.45">
      <c r="A383" s="6">
        <v>32</v>
      </c>
      <c r="B383" s="6" t="s">
        <v>18</v>
      </c>
      <c r="C383" s="6" t="s">
        <v>18</v>
      </c>
      <c r="D383" s="5" t="s">
        <v>1041</v>
      </c>
      <c r="E383" s="5" t="s">
        <v>61</v>
      </c>
      <c r="F383" s="6" t="s">
        <v>62</v>
      </c>
      <c r="G383" s="6"/>
      <c r="H383" s="5" t="s">
        <v>1042</v>
      </c>
      <c r="I383" s="12"/>
      <c r="J383" s="29"/>
      <c r="K383" s="29">
        <v>3</v>
      </c>
      <c r="L383" s="29"/>
      <c r="M383" s="25"/>
      <c r="N383" s="15" t="s">
        <v>29</v>
      </c>
      <c r="O383" s="30" t="s">
        <v>568</v>
      </c>
    </row>
    <row r="384" spans="1:15" ht="46.5">
      <c r="A384" s="40">
        <v>32</v>
      </c>
      <c r="B384" s="40" t="s">
        <v>1043</v>
      </c>
      <c r="C384" s="40" t="s">
        <v>79</v>
      </c>
      <c r="D384" s="38" t="s">
        <v>1044</v>
      </c>
      <c r="E384" s="38" t="s">
        <v>61</v>
      </c>
      <c r="F384" s="40" t="s">
        <v>116</v>
      </c>
      <c r="G384" s="40"/>
      <c r="H384" s="38" t="s">
        <v>1045</v>
      </c>
      <c r="I384" s="39"/>
      <c r="J384" s="40" t="s">
        <v>1046</v>
      </c>
      <c r="K384" s="40">
        <v>2</v>
      </c>
      <c r="L384" s="40"/>
      <c r="M384" s="39" t="s">
        <v>1047</v>
      </c>
      <c r="N384" s="60"/>
      <c r="O384" s="37" t="s">
        <v>36</v>
      </c>
    </row>
    <row r="385" spans="1:15" ht="62.1">
      <c r="A385" s="6">
        <v>32</v>
      </c>
      <c r="B385" s="6" t="s">
        <v>1043</v>
      </c>
      <c r="C385" s="6" t="s">
        <v>565</v>
      </c>
      <c r="D385" s="5" t="s">
        <v>1048</v>
      </c>
      <c r="E385" s="5" t="s">
        <v>61</v>
      </c>
      <c r="F385" s="6" t="s">
        <v>116</v>
      </c>
      <c r="G385" s="6"/>
      <c r="H385" s="5" t="s">
        <v>1049</v>
      </c>
      <c r="I385" s="12"/>
      <c r="J385" s="29" t="s">
        <v>1046</v>
      </c>
      <c r="K385" s="29">
        <v>2</v>
      </c>
      <c r="L385" s="29"/>
      <c r="M385" s="25" t="s">
        <v>1047</v>
      </c>
      <c r="N385" s="15" t="s">
        <v>29</v>
      </c>
      <c r="O385" s="30" t="s">
        <v>36</v>
      </c>
    </row>
    <row r="386" spans="1:15" ht="46.5">
      <c r="A386" s="6">
        <v>32</v>
      </c>
      <c r="B386" s="6" t="s">
        <v>1043</v>
      </c>
      <c r="C386" s="6" t="s">
        <v>1050</v>
      </c>
      <c r="D386" s="5" t="s">
        <v>1051</v>
      </c>
      <c r="E386" s="5" t="s">
        <v>61</v>
      </c>
      <c r="F386" s="6" t="s">
        <v>116</v>
      </c>
      <c r="G386" s="6"/>
      <c r="H386" s="5" t="s">
        <v>1049</v>
      </c>
      <c r="I386" s="12"/>
      <c r="J386" s="29" t="s">
        <v>1046</v>
      </c>
      <c r="K386" s="29">
        <v>2</v>
      </c>
      <c r="L386" s="29"/>
      <c r="M386" s="25" t="s">
        <v>1047</v>
      </c>
      <c r="N386" s="15" t="s">
        <v>29</v>
      </c>
      <c r="O386" s="30" t="s">
        <v>36</v>
      </c>
    </row>
    <row r="387" spans="1:15" ht="46.5">
      <c r="A387" s="6">
        <v>32</v>
      </c>
      <c r="B387" s="6" t="s">
        <v>1043</v>
      </c>
      <c r="C387" s="6" t="s">
        <v>757</v>
      </c>
      <c r="D387" s="5" t="s">
        <v>1052</v>
      </c>
      <c r="E387" s="5" t="s">
        <v>61</v>
      </c>
      <c r="F387" s="6" t="s">
        <v>116</v>
      </c>
      <c r="G387" s="6"/>
      <c r="H387" s="5" t="s">
        <v>1049</v>
      </c>
      <c r="I387" s="12"/>
      <c r="J387" s="29" t="s">
        <v>1046</v>
      </c>
      <c r="K387" s="29">
        <v>2</v>
      </c>
      <c r="L387" s="29"/>
      <c r="M387" s="25" t="s">
        <v>1047</v>
      </c>
      <c r="N387" s="15" t="s">
        <v>29</v>
      </c>
      <c r="O387" s="30" t="s">
        <v>36</v>
      </c>
    </row>
    <row r="388" spans="1:15" ht="46.5">
      <c r="A388" s="6">
        <v>32</v>
      </c>
      <c r="B388" s="6" t="s">
        <v>1043</v>
      </c>
      <c r="C388" s="6" t="s">
        <v>761</v>
      </c>
      <c r="D388" s="5" t="s">
        <v>1053</v>
      </c>
      <c r="E388" s="5" t="s">
        <v>61</v>
      </c>
      <c r="F388" s="6" t="s">
        <v>116</v>
      </c>
      <c r="G388" s="6"/>
      <c r="H388" s="5" t="s">
        <v>1049</v>
      </c>
      <c r="I388" s="12"/>
      <c r="J388" s="29" t="s">
        <v>1046</v>
      </c>
      <c r="K388" s="29">
        <v>2</v>
      </c>
      <c r="L388" s="29"/>
      <c r="M388" s="25" t="s">
        <v>1047</v>
      </c>
      <c r="N388" s="15" t="s">
        <v>29</v>
      </c>
      <c r="O388" s="30" t="s">
        <v>36</v>
      </c>
    </row>
    <row r="389" spans="1:15" ht="46.5">
      <c r="A389" s="6">
        <v>32</v>
      </c>
      <c r="B389" s="6" t="s">
        <v>1043</v>
      </c>
      <c r="C389" s="6" t="s">
        <v>1054</v>
      </c>
      <c r="D389" s="5" t="s">
        <v>1055</v>
      </c>
      <c r="E389" s="5" t="s">
        <v>61</v>
      </c>
      <c r="F389" s="6" t="s">
        <v>116</v>
      </c>
      <c r="G389" s="6"/>
      <c r="H389" s="5" t="s">
        <v>1049</v>
      </c>
      <c r="I389" s="12"/>
      <c r="J389" s="29" t="s">
        <v>1046</v>
      </c>
      <c r="K389" s="29">
        <v>2</v>
      </c>
      <c r="L389" s="29"/>
      <c r="M389" s="25" t="s">
        <v>1047</v>
      </c>
      <c r="N389" s="15" t="s">
        <v>29</v>
      </c>
      <c r="O389" s="30" t="s">
        <v>36</v>
      </c>
    </row>
    <row r="390" spans="1:15" ht="30.95">
      <c r="A390" s="6">
        <v>32</v>
      </c>
      <c r="B390" s="6" t="s">
        <v>1043</v>
      </c>
      <c r="C390" s="6" t="s">
        <v>1056</v>
      </c>
      <c r="D390" s="5" t="s">
        <v>1057</v>
      </c>
      <c r="E390" s="5" t="s">
        <v>39</v>
      </c>
      <c r="F390" s="34" t="s">
        <v>29</v>
      </c>
      <c r="G390" s="34"/>
      <c r="H390" s="5" t="s">
        <v>1058</v>
      </c>
      <c r="I390" s="12"/>
      <c r="J390" s="29" t="s">
        <v>33</v>
      </c>
      <c r="K390" s="29">
        <v>1</v>
      </c>
      <c r="L390" s="29"/>
      <c r="M390" s="25" t="s">
        <v>81</v>
      </c>
      <c r="N390" s="15" t="s">
        <v>29</v>
      </c>
      <c r="O390" s="30" t="s">
        <v>36</v>
      </c>
    </row>
    <row r="391" spans="1:15" ht="30.95">
      <c r="A391" s="6">
        <v>32</v>
      </c>
      <c r="B391" s="6" t="s">
        <v>1043</v>
      </c>
      <c r="C391" s="6" t="s">
        <v>575</v>
      </c>
      <c r="D391" s="5" t="s">
        <v>1059</v>
      </c>
      <c r="E391" s="5" t="s">
        <v>39</v>
      </c>
      <c r="F391" s="34" t="s">
        <v>29</v>
      </c>
      <c r="G391" s="34"/>
      <c r="H391" s="5" t="s">
        <v>1060</v>
      </c>
      <c r="I391" s="12"/>
      <c r="J391" s="29" t="s">
        <v>33</v>
      </c>
      <c r="K391" s="29">
        <v>1</v>
      </c>
      <c r="L391" s="29"/>
      <c r="M391" s="25" t="s">
        <v>81</v>
      </c>
      <c r="N391" s="15" t="s">
        <v>29</v>
      </c>
      <c r="O391" s="30" t="s">
        <v>36</v>
      </c>
    </row>
    <row r="392" spans="1:15" ht="46.5">
      <c r="A392" s="6">
        <v>32</v>
      </c>
      <c r="B392" s="6" t="s">
        <v>1043</v>
      </c>
      <c r="C392" s="6" t="s">
        <v>577</v>
      </c>
      <c r="D392" s="5" t="s">
        <v>1061</v>
      </c>
      <c r="E392" s="5" t="s">
        <v>39</v>
      </c>
      <c r="F392" s="34" t="s">
        <v>29</v>
      </c>
      <c r="G392" s="34"/>
      <c r="H392" s="5" t="s">
        <v>1060</v>
      </c>
      <c r="I392" s="12"/>
      <c r="J392" s="29" t="s">
        <v>33</v>
      </c>
      <c r="K392" s="29">
        <v>1</v>
      </c>
      <c r="L392" s="29"/>
      <c r="M392" s="25" t="s">
        <v>81</v>
      </c>
      <c r="N392" s="15" t="s">
        <v>29</v>
      </c>
      <c r="O392" s="30" t="s">
        <v>36</v>
      </c>
    </row>
    <row r="393" spans="1:15" ht="30.95">
      <c r="A393" s="6">
        <v>32</v>
      </c>
      <c r="B393" s="6" t="s">
        <v>1043</v>
      </c>
      <c r="C393" s="6" t="s">
        <v>579</v>
      </c>
      <c r="D393" s="5" t="s">
        <v>1062</v>
      </c>
      <c r="E393" s="5" t="s">
        <v>39</v>
      </c>
      <c r="F393" s="34" t="s">
        <v>29</v>
      </c>
      <c r="G393" s="34"/>
      <c r="H393" s="5" t="s">
        <v>1060</v>
      </c>
      <c r="I393" s="12"/>
      <c r="J393" s="29" t="s">
        <v>33</v>
      </c>
      <c r="K393" s="29">
        <v>1</v>
      </c>
      <c r="L393" s="29"/>
      <c r="M393" s="25" t="s">
        <v>81</v>
      </c>
      <c r="N393" s="15" t="s">
        <v>29</v>
      </c>
      <c r="O393" s="30" t="s">
        <v>36</v>
      </c>
    </row>
    <row r="394" spans="1:15" ht="46.5">
      <c r="A394" s="40">
        <v>33</v>
      </c>
      <c r="B394" s="40" t="s">
        <v>1043</v>
      </c>
      <c r="C394" s="40" t="s">
        <v>1063</v>
      </c>
      <c r="D394" s="38" t="s">
        <v>1064</v>
      </c>
      <c r="E394" s="38" t="s">
        <v>425</v>
      </c>
      <c r="F394" s="40" t="s">
        <v>116</v>
      </c>
      <c r="G394" s="40"/>
      <c r="H394" s="38" t="s">
        <v>1065</v>
      </c>
      <c r="I394" s="39"/>
      <c r="J394" s="40" t="s">
        <v>1046</v>
      </c>
      <c r="K394" s="40">
        <v>2</v>
      </c>
      <c r="L394" s="40"/>
      <c r="M394" s="39" t="s">
        <v>1066</v>
      </c>
      <c r="N394" s="60"/>
      <c r="O394" s="37" t="s">
        <v>36</v>
      </c>
    </row>
    <row r="395" spans="1:15" ht="93">
      <c r="A395" s="6">
        <v>33</v>
      </c>
      <c r="B395" s="6" t="s">
        <v>1043</v>
      </c>
      <c r="C395" s="6" t="s">
        <v>582</v>
      </c>
      <c r="D395" s="5" t="s">
        <v>1067</v>
      </c>
      <c r="E395" s="5" t="s">
        <v>425</v>
      </c>
      <c r="F395" s="6" t="s">
        <v>116</v>
      </c>
      <c r="G395" s="6"/>
      <c r="H395" s="5" t="s">
        <v>1068</v>
      </c>
      <c r="I395" s="12"/>
      <c r="J395" s="29" t="s">
        <v>1046</v>
      </c>
      <c r="K395" s="29">
        <v>2</v>
      </c>
      <c r="L395" s="29"/>
      <c r="M395" s="25" t="s">
        <v>1066</v>
      </c>
      <c r="N395" s="15" t="s">
        <v>29</v>
      </c>
      <c r="O395" s="30" t="s">
        <v>36</v>
      </c>
    </row>
    <row r="396" spans="1:15" ht="93">
      <c r="A396" s="6">
        <v>33</v>
      </c>
      <c r="B396" s="6" t="s">
        <v>1043</v>
      </c>
      <c r="C396" s="6" t="s">
        <v>589</v>
      </c>
      <c r="D396" s="5" t="s">
        <v>1069</v>
      </c>
      <c r="E396" s="5" t="s">
        <v>425</v>
      </c>
      <c r="F396" s="6" t="s">
        <v>116</v>
      </c>
      <c r="G396" s="6"/>
      <c r="H396" s="5" t="s">
        <v>1068</v>
      </c>
      <c r="I396" s="12"/>
      <c r="J396" s="29" t="s">
        <v>1046</v>
      </c>
      <c r="K396" s="29">
        <v>2</v>
      </c>
      <c r="L396" s="29"/>
      <c r="M396" s="25" t="s">
        <v>1066</v>
      </c>
      <c r="N396" s="15" t="s">
        <v>29</v>
      </c>
      <c r="O396" s="30" t="s">
        <v>36</v>
      </c>
    </row>
    <row r="397" spans="1:15" ht="93">
      <c r="A397" s="6">
        <v>33</v>
      </c>
      <c r="B397" s="6" t="s">
        <v>1043</v>
      </c>
      <c r="C397" s="6" t="s">
        <v>158</v>
      </c>
      <c r="D397" s="5" t="s">
        <v>1070</v>
      </c>
      <c r="E397" s="5" t="s">
        <v>425</v>
      </c>
      <c r="F397" s="6" t="s">
        <v>116</v>
      </c>
      <c r="G397" s="6"/>
      <c r="H397" s="5" t="s">
        <v>1068</v>
      </c>
      <c r="I397" s="12"/>
      <c r="J397" s="29" t="s">
        <v>1046</v>
      </c>
      <c r="K397" s="29">
        <v>2</v>
      </c>
      <c r="L397" s="29"/>
      <c r="M397" s="25" t="s">
        <v>1066</v>
      </c>
      <c r="N397" s="15" t="s">
        <v>29</v>
      </c>
      <c r="O397" s="30" t="s">
        <v>36</v>
      </c>
    </row>
    <row r="398" spans="1:15" ht="93">
      <c r="A398" s="6">
        <v>33</v>
      </c>
      <c r="B398" s="6" t="s">
        <v>1043</v>
      </c>
      <c r="C398" s="6" t="s">
        <v>1071</v>
      </c>
      <c r="D398" s="5" t="s">
        <v>1072</v>
      </c>
      <c r="E398" s="5" t="s">
        <v>425</v>
      </c>
      <c r="F398" s="6" t="s">
        <v>116</v>
      </c>
      <c r="G398" s="6"/>
      <c r="H398" s="5" t="s">
        <v>1068</v>
      </c>
      <c r="I398" s="12"/>
      <c r="J398" s="29" t="s">
        <v>1046</v>
      </c>
      <c r="K398" s="29">
        <v>2</v>
      </c>
      <c r="L398" s="29"/>
      <c r="M398" s="25" t="s">
        <v>1066</v>
      </c>
      <c r="N398" s="15" t="s">
        <v>29</v>
      </c>
      <c r="O398" s="30" t="s">
        <v>36</v>
      </c>
    </row>
    <row r="399" spans="1:15" ht="93">
      <c r="A399" s="6">
        <v>33</v>
      </c>
      <c r="B399" s="6" t="s">
        <v>1043</v>
      </c>
      <c r="C399" s="6" t="s">
        <v>591</v>
      </c>
      <c r="D399" s="5" t="s">
        <v>1073</v>
      </c>
      <c r="E399" s="5" t="s">
        <v>425</v>
      </c>
      <c r="F399" s="6" t="s">
        <v>116</v>
      </c>
      <c r="G399" s="6"/>
      <c r="H399" s="5" t="s">
        <v>1068</v>
      </c>
      <c r="I399" s="12"/>
      <c r="J399" s="29" t="s">
        <v>1046</v>
      </c>
      <c r="K399" s="29">
        <v>2</v>
      </c>
      <c r="L399" s="29"/>
      <c r="M399" s="25" t="s">
        <v>1066</v>
      </c>
      <c r="N399" s="15" t="s">
        <v>29</v>
      </c>
      <c r="O399" s="30" t="s">
        <v>36</v>
      </c>
    </row>
    <row r="400" spans="1:15" ht="30.95">
      <c r="A400" s="40">
        <v>33</v>
      </c>
      <c r="B400" s="40" t="s">
        <v>1043</v>
      </c>
      <c r="C400" s="40" t="s">
        <v>1074</v>
      </c>
      <c r="D400" s="38" t="s">
        <v>1075</v>
      </c>
      <c r="E400" s="38" t="s">
        <v>39</v>
      </c>
      <c r="F400" s="40" t="s">
        <v>29</v>
      </c>
      <c r="G400" s="40"/>
      <c r="H400" s="38" t="s">
        <v>1076</v>
      </c>
      <c r="I400" s="39"/>
      <c r="J400" s="40" t="s">
        <v>33</v>
      </c>
      <c r="K400" s="40">
        <v>1</v>
      </c>
      <c r="L400" s="40"/>
      <c r="M400" s="39" t="s">
        <v>101</v>
      </c>
      <c r="N400" s="60" t="s">
        <v>29</v>
      </c>
      <c r="O400" s="37" t="s">
        <v>36</v>
      </c>
    </row>
    <row r="401" spans="1:15" ht="46.5">
      <c r="A401" s="6">
        <v>33</v>
      </c>
      <c r="B401" s="6" t="s">
        <v>1043</v>
      </c>
      <c r="C401" s="6" t="s">
        <v>160</v>
      </c>
      <c r="D401" s="5" t="s">
        <v>1077</v>
      </c>
      <c r="E401" s="5" t="s">
        <v>39</v>
      </c>
      <c r="F401" s="6" t="s">
        <v>29</v>
      </c>
      <c r="G401" s="6"/>
      <c r="H401" s="5" t="s">
        <v>1078</v>
      </c>
      <c r="I401" s="12"/>
      <c r="J401" s="29" t="s">
        <v>33</v>
      </c>
      <c r="K401" s="29">
        <v>1</v>
      </c>
      <c r="L401" s="29"/>
      <c r="M401" s="25" t="s">
        <v>101</v>
      </c>
      <c r="N401" s="60" t="s">
        <v>29</v>
      </c>
      <c r="O401" s="30" t="s">
        <v>36</v>
      </c>
    </row>
    <row r="402" spans="1:15" ht="62.1">
      <c r="A402" s="6">
        <v>33</v>
      </c>
      <c r="B402" s="6" t="s">
        <v>1043</v>
      </c>
      <c r="C402" s="6" t="s">
        <v>604</v>
      </c>
      <c r="D402" s="5" t="s">
        <v>1079</v>
      </c>
      <c r="E402" s="5" t="s">
        <v>39</v>
      </c>
      <c r="F402" s="6" t="s">
        <v>29</v>
      </c>
      <c r="G402" s="6"/>
      <c r="H402" s="5" t="s">
        <v>56</v>
      </c>
      <c r="I402" s="12"/>
      <c r="J402" s="29" t="s">
        <v>33</v>
      </c>
      <c r="K402" s="29">
        <v>1</v>
      </c>
      <c r="L402" s="29"/>
      <c r="M402" s="25" t="s">
        <v>101</v>
      </c>
      <c r="N402" s="60" t="s">
        <v>29</v>
      </c>
      <c r="O402" s="30" t="s">
        <v>36</v>
      </c>
    </row>
    <row r="403" spans="1:15" ht="46.5">
      <c r="A403" s="6">
        <v>33</v>
      </c>
      <c r="B403" s="6" t="s">
        <v>1043</v>
      </c>
      <c r="C403" s="6" t="s">
        <v>611</v>
      </c>
      <c r="D403" s="5" t="s">
        <v>1080</v>
      </c>
      <c r="E403" s="5" t="s">
        <v>39</v>
      </c>
      <c r="F403" s="6" t="s">
        <v>29</v>
      </c>
      <c r="G403" s="6"/>
      <c r="H403" s="5" t="s">
        <v>56</v>
      </c>
      <c r="I403" s="12"/>
      <c r="J403" s="29" t="s">
        <v>33</v>
      </c>
      <c r="K403" s="29">
        <v>1</v>
      </c>
      <c r="L403" s="29"/>
      <c r="M403" s="25" t="s">
        <v>101</v>
      </c>
      <c r="N403" s="60" t="s">
        <v>29</v>
      </c>
      <c r="O403" s="30" t="s">
        <v>36</v>
      </c>
    </row>
    <row r="404" spans="1:15" ht="46.5">
      <c r="A404" s="6">
        <v>33</v>
      </c>
      <c r="B404" s="6" t="s">
        <v>1043</v>
      </c>
      <c r="C404" s="6" t="s">
        <v>616</v>
      </c>
      <c r="D404" s="5" t="s">
        <v>1081</v>
      </c>
      <c r="E404" s="5" t="s">
        <v>39</v>
      </c>
      <c r="F404" s="6" t="s">
        <v>29</v>
      </c>
      <c r="G404" s="6"/>
      <c r="H404" s="5" t="s">
        <v>56</v>
      </c>
      <c r="I404" s="12"/>
      <c r="J404" s="29" t="s">
        <v>33</v>
      </c>
      <c r="K404" s="29">
        <v>1</v>
      </c>
      <c r="L404" s="29"/>
      <c r="M404" s="25" t="s">
        <v>101</v>
      </c>
      <c r="N404" s="60" t="s">
        <v>29</v>
      </c>
      <c r="O404" s="30" t="s">
        <v>36</v>
      </c>
    </row>
    <row r="405" spans="1:15" ht="30.95">
      <c r="A405" s="6">
        <v>33</v>
      </c>
      <c r="B405" s="6" t="s">
        <v>1043</v>
      </c>
      <c r="C405" s="6" t="s">
        <v>618</v>
      </c>
      <c r="D405" s="5" t="s">
        <v>1082</v>
      </c>
      <c r="E405" s="5" t="s">
        <v>39</v>
      </c>
      <c r="F405" s="6" t="s">
        <v>29</v>
      </c>
      <c r="G405" s="6"/>
      <c r="H405" s="5" t="s">
        <v>56</v>
      </c>
      <c r="I405" s="12"/>
      <c r="J405" s="29" t="s">
        <v>33</v>
      </c>
      <c r="K405" s="29">
        <v>1</v>
      </c>
      <c r="L405" s="29"/>
      <c r="M405" s="25" t="s">
        <v>101</v>
      </c>
      <c r="N405" s="60" t="s">
        <v>29</v>
      </c>
      <c r="O405" s="30" t="s">
        <v>36</v>
      </c>
    </row>
    <row r="406" spans="1:15" ht="30.95">
      <c r="A406" s="6">
        <v>33</v>
      </c>
      <c r="B406" s="6" t="s">
        <v>1043</v>
      </c>
      <c r="C406" s="6" t="s">
        <v>620</v>
      </c>
      <c r="D406" s="5" t="s">
        <v>1083</v>
      </c>
      <c r="E406" s="5" t="s">
        <v>39</v>
      </c>
      <c r="F406" s="6" t="s">
        <v>29</v>
      </c>
      <c r="G406" s="6"/>
      <c r="H406" s="5" t="s">
        <v>56</v>
      </c>
      <c r="I406" s="12"/>
      <c r="J406" s="29" t="s">
        <v>33</v>
      </c>
      <c r="K406" s="29">
        <v>1</v>
      </c>
      <c r="L406" s="29"/>
      <c r="M406" s="25" t="s">
        <v>101</v>
      </c>
      <c r="N406" s="60" t="s">
        <v>29</v>
      </c>
      <c r="O406" s="30" t="s">
        <v>36</v>
      </c>
    </row>
    <row r="407" spans="1:15" ht="30.95">
      <c r="A407" s="6">
        <v>33</v>
      </c>
      <c r="B407" s="6" t="s">
        <v>1043</v>
      </c>
      <c r="C407" s="6" t="s">
        <v>622</v>
      </c>
      <c r="D407" s="5" t="s">
        <v>1084</v>
      </c>
      <c r="E407" s="5" t="s">
        <v>39</v>
      </c>
      <c r="F407" s="6" t="s">
        <v>29</v>
      </c>
      <c r="G407" s="6"/>
      <c r="H407" s="5" t="s">
        <v>56</v>
      </c>
      <c r="I407" s="12"/>
      <c r="J407" s="29" t="s">
        <v>33</v>
      </c>
      <c r="K407" s="29">
        <v>1</v>
      </c>
      <c r="L407" s="29"/>
      <c r="M407" s="25" t="s">
        <v>101</v>
      </c>
      <c r="N407" s="60" t="s">
        <v>29</v>
      </c>
      <c r="O407" s="30" t="s">
        <v>36</v>
      </c>
    </row>
    <row r="408" spans="1:15" ht="30.95">
      <c r="A408" s="6">
        <v>33</v>
      </c>
      <c r="B408" s="6" t="s">
        <v>1043</v>
      </c>
      <c r="C408" s="6" t="s">
        <v>625</v>
      </c>
      <c r="D408" s="5" t="s">
        <v>1085</v>
      </c>
      <c r="E408" s="5" t="s">
        <v>39</v>
      </c>
      <c r="F408" s="6" t="s">
        <v>29</v>
      </c>
      <c r="G408" s="6"/>
      <c r="H408" s="5" t="s">
        <v>56</v>
      </c>
      <c r="I408" s="12"/>
      <c r="J408" s="29" t="s">
        <v>33</v>
      </c>
      <c r="K408" s="29">
        <v>1</v>
      </c>
      <c r="L408" s="29"/>
      <c r="M408" s="25" t="s">
        <v>101</v>
      </c>
      <c r="N408" s="60" t="s">
        <v>29</v>
      </c>
      <c r="O408" s="30" t="s">
        <v>36</v>
      </c>
    </row>
    <row r="409" spans="1:15" ht="30.95">
      <c r="A409" s="6">
        <v>33</v>
      </c>
      <c r="B409" s="6" t="s">
        <v>1043</v>
      </c>
      <c r="C409" s="6" t="s">
        <v>1086</v>
      </c>
      <c r="D409" s="5" t="s">
        <v>1087</v>
      </c>
      <c r="E409" s="5" t="s">
        <v>39</v>
      </c>
      <c r="F409" s="6" t="s">
        <v>29</v>
      </c>
      <c r="G409" s="6"/>
      <c r="H409" s="5" t="s">
        <v>56</v>
      </c>
      <c r="I409" s="12"/>
      <c r="J409" s="29" t="s">
        <v>33</v>
      </c>
      <c r="K409" s="29">
        <v>1</v>
      </c>
      <c r="L409" s="29"/>
      <c r="M409" s="25" t="s">
        <v>101</v>
      </c>
      <c r="N409" s="60" t="s">
        <v>29</v>
      </c>
      <c r="O409" s="30" t="s">
        <v>36</v>
      </c>
    </row>
    <row r="410" spans="1:15" ht="30.95">
      <c r="A410" s="6">
        <v>33</v>
      </c>
      <c r="B410" s="6" t="s">
        <v>1043</v>
      </c>
      <c r="C410" s="6" t="s">
        <v>1088</v>
      </c>
      <c r="D410" s="5" t="s">
        <v>1089</v>
      </c>
      <c r="E410" s="5" t="s">
        <v>39</v>
      </c>
      <c r="F410" s="6" t="s">
        <v>29</v>
      </c>
      <c r="G410" s="6"/>
      <c r="H410" s="5" t="s">
        <v>56</v>
      </c>
      <c r="I410" s="12"/>
      <c r="J410" s="29" t="s">
        <v>33</v>
      </c>
      <c r="K410" s="29">
        <v>1</v>
      </c>
      <c r="L410" s="29"/>
      <c r="M410" s="25" t="s">
        <v>101</v>
      </c>
      <c r="N410" s="60" t="s">
        <v>29</v>
      </c>
      <c r="O410" s="30" t="s">
        <v>36</v>
      </c>
    </row>
    <row r="411" spans="1:15" ht="30.95">
      <c r="A411" s="6">
        <v>33</v>
      </c>
      <c r="B411" s="6" t="s">
        <v>1043</v>
      </c>
      <c r="C411" s="6" t="s">
        <v>1090</v>
      </c>
      <c r="D411" s="5" t="s">
        <v>1091</v>
      </c>
      <c r="E411" s="5" t="s">
        <v>39</v>
      </c>
      <c r="F411" s="6" t="s">
        <v>29</v>
      </c>
      <c r="G411" s="6"/>
      <c r="H411" s="5" t="s">
        <v>56</v>
      </c>
      <c r="I411" s="12"/>
      <c r="J411" s="29" t="s">
        <v>33</v>
      </c>
      <c r="K411" s="29">
        <v>1</v>
      </c>
      <c r="L411" s="29"/>
      <c r="M411" s="25" t="s">
        <v>101</v>
      </c>
      <c r="N411" s="60" t="s">
        <v>29</v>
      </c>
      <c r="O411" s="30" t="s">
        <v>36</v>
      </c>
    </row>
    <row r="412" spans="1:15" ht="30.95">
      <c r="A412" s="6">
        <v>33</v>
      </c>
      <c r="B412" s="6" t="s">
        <v>1043</v>
      </c>
      <c r="C412" s="6" t="s">
        <v>1092</v>
      </c>
      <c r="D412" s="5" t="s">
        <v>1093</v>
      </c>
      <c r="E412" s="5" t="s">
        <v>39</v>
      </c>
      <c r="F412" s="6" t="s">
        <v>29</v>
      </c>
      <c r="G412" s="6"/>
      <c r="H412" s="5" t="s">
        <v>56</v>
      </c>
      <c r="I412" s="12"/>
      <c r="J412" s="29" t="s">
        <v>33</v>
      </c>
      <c r="K412" s="29">
        <v>1</v>
      </c>
      <c r="L412" s="29"/>
      <c r="M412" s="25" t="s">
        <v>101</v>
      </c>
      <c r="N412" s="60" t="s">
        <v>29</v>
      </c>
      <c r="O412" s="30" t="s">
        <v>36</v>
      </c>
    </row>
    <row r="413" spans="1:15" ht="62.1">
      <c r="A413" s="6">
        <v>33</v>
      </c>
      <c r="B413" s="6" t="s">
        <v>1043</v>
      </c>
      <c r="C413" s="6" t="s">
        <v>1094</v>
      </c>
      <c r="D413" s="5" t="s">
        <v>1095</v>
      </c>
      <c r="E413" s="5" t="s">
        <v>39</v>
      </c>
      <c r="F413" s="6" t="s">
        <v>29</v>
      </c>
      <c r="G413" s="6"/>
      <c r="H413" s="5" t="s">
        <v>56</v>
      </c>
      <c r="I413" s="12"/>
      <c r="J413" s="29" t="s">
        <v>33</v>
      </c>
      <c r="K413" s="29">
        <v>1</v>
      </c>
      <c r="L413" s="29"/>
      <c r="M413" s="25" t="s">
        <v>101</v>
      </c>
      <c r="N413" s="60" t="s">
        <v>29</v>
      </c>
      <c r="O413" s="30" t="s">
        <v>36</v>
      </c>
    </row>
    <row r="417" spans="13:14" ht="12.75" customHeight="1">
      <c r="M417" s="61" t="s">
        <v>1096</v>
      </c>
      <c r="N417" s="1">
        <f>COUNTIF(Table1[DLR Final Response], "*Comply*")</f>
        <v>329</v>
      </c>
    </row>
    <row r="418" spans="13:14" ht="12.75" customHeight="1">
      <c r="M418" s="61" t="s">
        <v>1097</v>
      </c>
      <c r="N418" s="1">
        <f>COUNTIF(Table1[DLR Final Response], "*Deviate*")</f>
        <v>13</v>
      </c>
    </row>
    <row r="419" spans="13:14" ht="12.75" customHeight="1">
      <c r="M419" s="61" t="s">
        <v>1098</v>
      </c>
      <c r="N419" s="1">
        <f>COUNTIF(Table1[DLR Final Response], "*Exception*")</f>
        <v>24</v>
      </c>
    </row>
  </sheetData>
  <conditionalFormatting sqref="N1:N1048576">
    <cfRule type="containsText" dxfId="47" priority="1" operator="containsText" text="Exception">
      <formula>NOT(ISERROR(SEARCH("Exception",N1)))</formula>
    </cfRule>
    <cfRule type="containsText" dxfId="46" priority="2" operator="containsText" text="Reject">
      <formula>NOT(ISERROR(SEARCH("Reject",N1)))</formula>
    </cfRule>
    <cfRule type="containsText" dxfId="45" priority="3" operator="containsText" text="Deviate">
      <formula>NOT(ISERROR(SEARCH("Deviate",N1)))</formula>
    </cfRule>
    <cfRule type="containsText" dxfId="44" priority="4" operator="containsText" text="Comply">
      <formula>NOT(ISERROR(SEARCH("Comply",N1)))</formula>
    </cfRule>
  </conditionalFormatting>
  <pageMargins left="0.7" right="0.7" top="0.75" bottom="0.75" header="0.3" footer="0.3"/>
  <pageSetup orientation="portrait" horizontalDpi="1200" verticalDpi="120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2C6C-95C0-48E7-B69D-41AA7D9493D4}">
  <dimension ref="A1:K418"/>
  <sheetViews>
    <sheetView zoomScaleNormal="100" workbookViewId="0">
      <selection activeCell="H418" sqref="H418"/>
    </sheetView>
  </sheetViews>
  <sheetFormatPr defaultColWidth="28.85546875" defaultRowHeight="12.6"/>
  <cols>
    <col min="1" max="9" width="28.85546875" style="1"/>
  </cols>
  <sheetData>
    <row r="1" spans="1:11" ht="15.6">
      <c r="A1" s="2" t="s">
        <v>2</v>
      </c>
      <c r="B1" s="2" t="s">
        <v>3</v>
      </c>
      <c r="C1" s="2" t="s">
        <v>4</v>
      </c>
      <c r="D1" s="9" t="s">
        <v>5</v>
      </c>
      <c r="E1" s="9" t="s">
        <v>6</v>
      </c>
      <c r="F1" s="2" t="s">
        <v>7</v>
      </c>
      <c r="G1" s="9" t="s">
        <v>9</v>
      </c>
      <c r="H1" s="10" t="s">
        <v>10</v>
      </c>
      <c r="I1" s="9" t="s">
        <v>1099</v>
      </c>
      <c r="J1" s="24" t="s">
        <v>1100</v>
      </c>
      <c r="K1" s="24" t="s">
        <v>1101</v>
      </c>
    </row>
    <row r="2" spans="1:11" ht="93">
      <c r="A2" s="21">
        <v>11</v>
      </c>
      <c r="B2" s="21" t="s">
        <v>266</v>
      </c>
      <c r="C2" s="21" t="s">
        <v>280</v>
      </c>
      <c r="D2" s="22" t="s">
        <v>281</v>
      </c>
      <c r="E2" s="22" t="s">
        <v>61</v>
      </c>
      <c r="F2" s="21" t="s">
        <v>62</v>
      </c>
      <c r="G2" s="22" t="s">
        <v>1102</v>
      </c>
      <c r="H2" s="23" t="s">
        <v>283</v>
      </c>
      <c r="I2" s="22" t="s">
        <v>1103</v>
      </c>
      <c r="J2" s="8"/>
      <c r="K2" s="8"/>
    </row>
    <row r="3" spans="1:11" ht="93">
      <c r="A3" s="21">
        <v>11</v>
      </c>
      <c r="B3" s="21" t="s">
        <v>266</v>
      </c>
      <c r="C3" s="21" t="s">
        <v>285</v>
      </c>
      <c r="D3" s="22" t="s">
        <v>286</v>
      </c>
      <c r="E3" s="22" t="s">
        <v>61</v>
      </c>
      <c r="F3" s="21" t="s">
        <v>62</v>
      </c>
      <c r="G3" s="22" t="s">
        <v>1104</v>
      </c>
      <c r="H3" s="23" t="s">
        <v>283</v>
      </c>
      <c r="I3" s="22" t="s">
        <v>1103</v>
      </c>
      <c r="J3" s="8"/>
      <c r="K3" s="8"/>
    </row>
    <row r="4" spans="1:11" ht="123.95">
      <c r="A4" s="17">
        <v>7</v>
      </c>
      <c r="B4" s="17" t="s">
        <v>78</v>
      </c>
      <c r="C4" s="17" t="s">
        <v>133</v>
      </c>
      <c r="D4" s="18" t="s">
        <v>134</v>
      </c>
      <c r="E4" s="18" t="s">
        <v>61</v>
      </c>
      <c r="F4" s="17" t="s">
        <v>116</v>
      </c>
      <c r="G4" s="18" t="s">
        <v>135</v>
      </c>
      <c r="H4" s="19" t="s">
        <v>136</v>
      </c>
      <c r="I4" s="18" t="s">
        <v>1105</v>
      </c>
      <c r="J4" s="8"/>
      <c r="K4" s="8"/>
    </row>
    <row r="5" spans="1:11" ht="123.95">
      <c r="A5" s="17">
        <v>8</v>
      </c>
      <c r="B5" s="17" t="s">
        <v>78</v>
      </c>
      <c r="C5" s="17" t="s">
        <v>158</v>
      </c>
      <c r="D5" s="18" t="s">
        <v>159</v>
      </c>
      <c r="E5" s="18" t="s">
        <v>61</v>
      </c>
      <c r="F5" s="17" t="s">
        <v>116</v>
      </c>
      <c r="G5" s="18" t="s">
        <v>135</v>
      </c>
      <c r="H5" s="19" t="s">
        <v>136</v>
      </c>
      <c r="I5" s="18" t="s">
        <v>1105</v>
      </c>
      <c r="J5" s="8"/>
      <c r="K5" s="8"/>
    </row>
    <row r="6" spans="1:11" ht="108.6">
      <c r="A6" s="6">
        <v>12</v>
      </c>
      <c r="B6" s="6" t="s">
        <v>266</v>
      </c>
      <c r="C6" s="6" t="s">
        <v>328</v>
      </c>
      <c r="D6" s="15" t="s">
        <v>1106</v>
      </c>
      <c r="E6" s="15" t="s">
        <v>39</v>
      </c>
      <c r="F6" s="6" t="s">
        <v>258</v>
      </c>
      <c r="G6" s="15" t="s">
        <v>330</v>
      </c>
      <c r="H6" s="12" t="s">
        <v>331</v>
      </c>
      <c r="I6" s="15" t="s">
        <v>1107</v>
      </c>
      <c r="J6" s="8"/>
      <c r="K6" s="8"/>
    </row>
    <row r="7" spans="1:11" ht="138.6" customHeight="1">
      <c r="A7" s="6">
        <v>7</v>
      </c>
      <c r="B7" s="6" t="s">
        <v>78</v>
      </c>
      <c r="C7" s="6" t="s">
        <v>124</v>
      </c>
      <c r="D7" s="15" t="s">
        <v>125</v>
      </c>
      <c r="E7" s="15" t="s">
        <v>39</v>
      </c>
      <c r="F7" s="6" t="s">
        <v>116</v>
      </c>
      <c r="G7" s="15" t="s">
        <v>126</v>
      </c>
      <c r="H7" s="12" t="s">
        <v>127</v>
      </c>
      <c r="I7" s="15" t="s">
        <v>1108</v>
      </c>
      <c r="J7" s="8"/>
      <c r="K7" s="8"/>
    </row>
    <row r="8" spans="1:11" ht="201.6">
      <c r="A8" s="13">
        <v>10</v>
      </c>
      <c r="B8" s="13" t="s">
        <v>177</v>
      </c>
      <c r="C8" s="13" t="s">
        <v>206</v>
      </c>
      <c r="D8" s="16" t="s">
        <v>207</v>
      </c>
      <c r="E8" s="16" t="s">
        <v>20</v>
      </c>
      <c r="F8" s="13" t="s">
        <v>557</v>
      </c>
      <c r="G8" s="16" t="s">
        <v>194</v>
      </c>
      <c r="H8" s="14" t="s">
        <v>208</v>
      </c>
      <c r="I8" s="16"/>
      <c r="J8" s="8"/>
      <c r="K8" s="8"/>
    </row>
    <row r="9" spans="1:11" ht="201.6">
      <c r="A9" s="13">
        <v>10</v>
      </c>
      <c r="B9" s="13" t="s">
        <v>177</v>
      </c>
      <c r="C9" s="13" t="s">
        <v>203</v>
      </c>
      <c r="D9" s="16" t="s">
        <v>204</v>
      </c>
      <c r="E9" s="16" t="s">
        <v>20</v>
      </c>
      <c r="F9" s="13" t="s">
        <v>557</v>
      </c>
      <c r="G9" s="16" t="s">
        <v>194</v>
      </c>
      <c r="H9" s="14" t="s">
        <v>205</v>
      </c>
      <c r="I9" s="16"/>
      <c r="J9" s="8"/>
      <c r="K9" s="8"/>
    </row>
    <row r="10" spans="1:11" ht="62.1">
      <c r="A10" s="21">
        <v>11</v>
      </c>
      <c r="B10" s="21" t="s">
        <v>177</v>
      </c>
      <c r="C10" s="21" t="s">
        <v>245</v>
      </c>
      <c r="D10" s="22" t="s">
        <v>246</v>
      </c>
      <c r="E10" s="22" t="s">
        <v>61</v>
      </c>
      <c r="F10" s="21" t="s">
        <v>116</v>
      </c>
      <c r="G10" s="22" t="s">
        <v>247</v>
      </c>
      <c r="H10" s="23" t="s">
        <v>248</v>
      </c>
      <c r="I10" s="22" t="s">
        <v>1109</v>
      </c>
      <c r="J10" s="8"/>
      <c r="K10" s="8"/>
    </row>
    <row r="11" spans="1:11" ht="372">
      <c r="A11" s="6">
        <v>6</v>
      </c>
      <c r="B11" s="6" t="s">
        <v>57</v>
      </c>
      <c r="C11" s="6" t="s">
        <v>18</v>
      </c>
      <c r="D11" s="15" t="s">
        <v>70</v>
      </c>
      <c r="E11" s="15" t="s">
        <v>39</v>
      </c>
      <c r="F11" s="6" t="s">
        <v>21</v>
      </c>
      <c r="G11" s="15" t="s">
        <v>71</v>
      </c>
      <c r="H11" s="12" t="s">
        <v>72</v>
      </c>
      <c r="I11" s="15"/>
      <c r="J11" s="8"/>
      <c r="K11" s="8"/>
    </row>
    <row r="12" spans="1:11" ht="409.5">
      <c r="A12" s="6">
        <v>6</v>
      </c>
      <c r="B12" s="6" t="s">
        <v>78</v>
      </c>
      <c r="C12" s="6" t="s">
        <v>79</v>
      </c>
      <c r="D12" s="15" t="s">
        <v>80</v>
      </c>
      <c r="E12" s="15" t="s">
        <v>39</v>
      </c>
      <c r="F12" s="6" t="s">
        <v>21</v>
      </c>
      <c r="G12" s="15" t="s">
        <v>71</v>
      </c>
      <c r="H12" s="12" t="s">
        <v>72</v>
      </c>
      <c r="I12" s="15"/>
      <c r="J12" s="8"/>
      <c r="K12" s="8"/>
    </row>
    <row r="13" spans="1:11" ht="108.6" hidden="1">
      <c r="A13" s="4">
        <v>6</v>
      </c>
      <c r="B13" s="6" t="s">
        <v>78</v>
      </c>
      <c r="C13" s="4" t="s">
        <v>87</v>
      </c>
      <c r="D13" s="5" t="s">
        <v>88</v>
      </c>
      <c r="E13" s="5" t="s">
        <v>39</v>
      </c>
      <c r="F13" s="4" t="s">
        <v>29</v>
      </c>
      <c r="G13" s="5" t="s">
        <v>89</v>
      </c>
      <c r="H13" s="12" t="s">
        <v>90</v>
      </c>
      <c r="I13" s="15" t="s">
        <v>297</v>
      </c>
      <c r="J13" s="8"/>
      <c r="K13" s="8"/>
    </row>
    <row r="14" spans="1:11" ht="108.6" hidden="1">
      <c r="A14" s="4">
        <v>7</v>
      </c>
      <c r="B14" s="6" t="s">
        <v>78</v>
      </c>
      <c r="C14" s="4" t="s">
        <v>98</v>
      </c>
      <c r="D14" s="5" t="s">
        <v>99</v>
      </c>
      <c r="E14" s="5" t="s">
        <v>39</v>
      </c>
      <c r="F14" s="4" t="s">
        <v>29</v>
      </c>
      <c r="G14" s="5" t="s">
        <v>100</v>
      </c>
      <c r="H14" s="12" t="s">
        <v>90</v>
      </c>
      <c r="I14" s="15" t="s">
        <v>297</v>
      </c>
      <c r="J14" s="8"/>
      <c r="K14" s="8"/>
    </row>
    <row r="15" spans="1:11" ht="93" hidden="1">
      <c r="A15" s="4">
        <v>8</v>
      </c>
      <c r="B15" s="6" t="s">
        <v>78</v>
      </c>
      <c r="C15" s="4" t="s">
        <v>154</v>
      </c>
      <c r="D15" s="5" t="s">
        <v>155</v>
      </c>
      <c r="E15" s="5" t="s">
        <v>39</v>
      </c>
      <c r="F15" s="4" t="s">
        <v>29</v>
      </c>
      <c r="G15" s="5" t="s">
        <v>89</v>
      </c>
      <c r="H15" s="12" t="s">
        <v>90</v>
      </c>
      <c r="I15" s="15" t="s">
        <v>297</v>
      </c>
      <c r="J15" s="8"/>
      <c r="K15" s="8"/>
    </row>
    <row r="16" spans="1:11" ht="108.6">
      <c r="A16" s="6">
        <v>14</v>
      </c>
      <c r="B16" s="6" t="s">
        <v>266</v>
      </c>
      <c r="C16" s="6" t="s">
        <v>378</v>
      </c>
      <c r="D16" s="15" t="s">
        <v>379</v>
      </c>
      <c r="E16" s="15" t="s">
        <v>61</v>
      </c>
      <c r="F16" s="6" t="s">
        <v>116</v>
      </c>
      <c r="G16" s="15" t="s">
        <v>380</v>
      </c>
      <c r="H16" s="12" t="s">
        <v>381</v>
      </c>
      <c r="I16" s="15"/>
      <c r="J16" s="8"/>
      <c r="K16" s="8"/>
    </row>
    <row r="17" spans="1:11" ht="108.6">
      <c r="A17" s="13">
        <v>11</v>
      </c>
      <c r="B17" s="13" t="s">
        <v>266</v>
      </c>
      <c r="C17" s="13" t="s">
        <v>288</v>
      </c>
      <c r="D17" s="16" t="s">
        <v>289</v>
      </c>
      <c r="E17" s="16" t="s">
        <v>61</v>
      </c>
      <c r="F17" s="13" t="s">
        <v>62</v>
      </c>
      <c r="G17" s="16" t="s">
        <v>290</v>
      </c>
      <c r="H17" s="14" t="s">
        <v>291</v>
      </c>
      <c r="I17" s="16"/>
      <c r="J17" s="8"/>
      <c r="K17" s="8"/>
    </row>
    <row r="18" spans="1:11" ht="108.6">
      <c r="A18" s="13">
        <v>12</v>
      </c>
      <c r="B18" s="13" t="s">
        <v>266</v>
      </c>
      <c r="C18" s="13" t="s">
        <v>300</v>
      </c>
      <c r="D18" s="16" t="s">
        <v>301</v>
      </c>
      <c r="E18" s="16" t="s">
        <v>61</v>
      </c>
      <c r="F18" s="13" t="s">
        <v>62</v>
      </c>
      <c r="G18" s="16" t="s">
        <v>302</v>
      </c>
      <c r="H18" s="14" t="s">
        <v>291</v>
      </c>
      <c r="I18" s="16"/>
      <c r="J18" s="8"/>
      <c r="K18" s="8"/>
    </row>
    <row r="19" spans="1:11" ht="201.6">
      <c r="A19" s="13">
        <v>9</v>
      </c>
      <c r="B19" s="13" t="s">
        <v>177</v>
      </c>
      <c r="C19" s="13" t="s">
        <v>192</v>
      </c>
      <c r="D19" s="16" t="s">
        <v>193</v>
      </c>
      <c r="E19" s="16" t="s">
        <v>20</v>
      </c>
      <c r="F19" s="13" t="s">
        <v>557</v>
      </c>
      <c r="G19" s="16" t="s">
        <v>194</v>
      </c>
      <c r="H19" s="14" t="s">
        <v>195</v>
      </c>
      <c r="I19" s="16"/>
      <c r="J19" s="8"/>
      <c r="K19" s="8"/>
    </row>
    <row r="20" spans="1:11" ht="279">
      <c r="A20" s="17">
        <v>5</v>
      </c>
      <c r="B20" s="17" t="s">
        <v>26</v>
      </c>
      <c r="C20" s="17" t="s">
        <v>27</v>
      </c>
      <c r="D20" s="18" t="s">
        <v>28</v>
      </c>
      <c r="E20" s="18" t="s">
        <v>20</v>
      </c>
      <c r="F20" s="17" t="s">
        <v>43</v>
      </c>
      <c r="G20" s="18" t="s">
        <v>1110</v>
      </c>
      <c r="H20" s="19" t="s">
        <v>32</v>
      </c>
      <c r="I20" s="18"/>
      <c r="J20" s="8"/>
      <c r="K20" s="8"/>
    </row>
    <row r="21" spans="1:11" ht="170.45">
      <c r="A21" s="17">
        <v>5</v>
      </c>
      <c r="B21" s="17" t="s">
        <v>26</v>
      </c>
      <c r="C21" s="17" t="s">
        <v>37</v>
      </c>
      <c r="D21" s="18" t="s">
        <v>38</v>
      </c>
      <c r="E21" s="18" t="s">
        <v>39</v>
      </c>
      <c r="F21" s="17" t="s">
        <v>43</v>
      </c>
      <c r="G21" s="18" t="s">
        <v>40</v>
      </c>
      <c r="H21" s="19" t="s">
        <v>32</v>
      </c>
      <c r="I21" s="18"/>
      <c r="J21" s="8"/>
      <c r="K21" s="8"/>
    </row>
    <row r="22" spans="1:11" ht="93">
      <c r="A22" s="6">
        <v>16</v>
      </c>
      <c r="B22" s="6" t="s">
        <v>266</v>
      </c>
      <c r="C22" s="6" t="s">
        <v>439</v>
      </c>
      <c r="D22" s="15" t="s">
        <v>440</v>
      </c>
      <c r="E22" s="15" t="s">
        <v>61</v>
      </c>
      <c r="F22" s="6" t="s">
        <v>62</v>
      </c>
      <c r="G22" s="15" t="s">
        <v>441</v>
      </c>
      <c r="H22" s="12" t="s">
        <v>32</v>
      </c>
      <c r="I22" s="15"/>
      <c r="J22" s="8"/>
      <c r="K22" s="8"/>
    </row>
    <row r="23" spans="1:11" ht="139.5">
      <c r="A23" s="20">
        <v>14</v>
      </c>
      <c r="B23" s="20" t="s">
        <v>266</v>
      </c>
      <c r="C23" s="21" t="s">
        <v>374</v>
      </c>
      <c r="D23" s="22" t="s">
        <v>375</v>
      </c>
      <c r="E23" s="22" t="s">
        <v>425</v>
      </c>
      <c r="F23" s="21" t="s">
        <v>116</v>
      </c>
      <c r="G23" s="22" t="s">
        <v>376</v>
      </c>
      <c r="H23" s="23" t="s">
        <v>377</v>
      </c>
      <c r="I23" s="22"/>
      <c r="J23" s="8"/>
      <c r="K23" s="8"/>
    </row>
    <row r="24" spans="1:11" ht="216.95" hidden="1">
      <c r="A24" s="4">
        <v>13</v>
      </c>
      <c r="B24" s="4" t="s">
        <v>266</v>
      </c>
      <c r="C24" s="4" t="s">
        <v>206</v>
      </c>
      <c r="D24" s="5" t="s">
        <v>351</v>
      </c>
      <c r="E24" s="5" t="s">
        <v>61</v>
      </c>
      <c r="F24" s="4" t="s">
        <v>29</v>
      </c>
      <c r="G24" s="5" t="s">
        <v>1111</v>
      </c>
      <c r="H24" s="12" t="s">
        <v>348</v>
      </c>
      <c r="I24" s="15" t="s">
        <v>1112</v>
      </c>
      <c r="J24" s="8"/>
      <c r="K24" s="8"/>
    </row>
    <row r="25" spans="1:11" ht="186">
      <c r="A25" s="20">
        <v>13</v>
      </c>
      <c r="B25" s="20" t="s">
        <v>266</v>
      </c>
      <c r="C25" s="21" t="s">
        <v>192</v>
      </c>
      <c r="D25" s="22" t="s">
        <v>346</v>
      </c>
      <c r="E25" s="22" t="s">
        <v>61</v>
      </c>
      <c r="F25" s="21" t="s">
        <v>116</v>
      </c>
      <c r="G25" s="22" t="s">
        <v>1113</v>
      </c>
      <c r="H25" s="23" t="s">
        <v>348</v>
      </c>
      <c r="I25" s="22"/>
      <c r="J25" s="8"/>
      <c r="K25" s="8"/>
    </row>
    <row r="26" spans="1:11" ht="201.6">
      <c r="A26" s="20">
        <v>13</v>
      </c>
      <c r="B26" s="20" t="s">
        <v>266</v>
      </c>
      <c r="C26" s="21" t="s">
        <v>198</v>
      </c>
      <c r="D26" s="22" t="s">
        <v>349</v>
      </c>
      <c r="E26" s="22" t="s">
        <v>61</v>
      </c>
      <c r="F26" s="21" t="s">
        <v>116</v>
      </c>
      <c r="G26" s="22" t="s">
        <v>1111</v>
      </c>
      <c r="H26" s="23" t="s">
        <v>348</v>
      </c>
      <c r="I26" s="22"/>
      <c r="J26" s="8"/>
      <c r="K26" s="8"/>
    </row>
    <row r="27" spans="1:11" ht="201.6">
      <c r="A27" s="20">
        <v>13</v>
      </c>
      <c r="B27" s="20" t="s">
        <v>266</v>
      </c>
      <c r="C27" s="21" t="s">
        <v>203</v>
      </c>
      <c r="D27" s="22" t="s">
        <v>350</v>
      </c>
      <c r="E27" s="22" t="s">
        <v>61</v>
      </c>
      <c r="F27" s="21" t="s">
        <v>116</v>
      </c>
      <c r="G27" s="22" t="s">
        <v>1111</v>
      </c>
      <c r="H27" s="23" t="s">
        <v>348</v>
      </c>
      <c r="I27" s="22"/>
      <c r="J27" s="8"/>
      <c r="K27" s="8"/>
    </row>
    <row r="28" spans="1:11" ht="201.6">
      <c r="A28" s="20">
        <v>13</v>
      </c>
      <c r="B28" s="20" t="s">
        <v>266</v>
      </c>
      <c r="C28" s="21" t="s">
        <v>352</v>
      </c>
      <c r="D28" s="22" t="s">
        <v>353</v>
      </c>
      <c r="E28" s="22" t="s">
        <v>61</v>
      </c>
      <c r="F28" s="21" t="s">
        <v>116</v>
      </c>
      <c r="G28" s="22" t="s">
        <v>1111</v>
      </c>
      <c r="H28" s="23" t="s">
        <v>348</v>
      </c>
      <c r="I28" s="22"/>
      <c r="J28" s="8"/>
      <c r="K28" s="8"/>
    </row>
    <row r="29" spans="1:11" ht="216.95">
      <c r="A29" s="20">
        <v>13</v>
      </c>
      <c r="B29" s="20" t="s">
        <v>266</v>
      </c>
      <c r="C29" s="21" t="s">
        <v>354</v>
      </c>
      <c r="D29" s="22" t="s">
        <v>355</v>
      </c>
      <c r="E29" s="22" t="s">
        <v>425</v>
      </c>
      <c r="F29" s="21" t="s">
        <v>116</v>
      </c>
      <c r="G29" s="22" t="s">
        <v>1111</v>
      </c>
      <c r="H29" s="23" t="s">
        <v>348</v>
      </c>
      <c r="I29" s="22"/>
      <c r="J29" s="8"/>
      <c r="K29" s="8"/>
    </row>
    <row r="30" spans="1:11" ht="201.6">
      <c r="A30" s="20">
        <v>13</v>
      </c>
      <c r="B30" s="20" t="s">
        <v>266</v>
      </c>
      <c r="C30" s="21" t="s">
        <v>356</v>
      </c>
      <c r="D30" s="22" t="s">
        <v>357</v>
      </c>
      <c r="E30" s="22" t="s">
        <v>425</v>
      </c>
      <c r="F30" s="21" t="s">
        <v>116</v>
      </c>
      <c r="G30" s="22" t="s">
        <v>1111</v>
      </c>
      <c r="H30" s="23" t="s">
        <v>348</v>
      </c>
      <c r="I30" s="22"/>
      <c r="J30" s="8"/>
      <c r="K30" s="8"/>
    </row>
    <row r="31" spans="1:11" ht="263.45">
      <c r="A31" s="20">
        <v>13</v>
      </c>
      <c r="B31" s="20" t="s">
        <v>266</v>
      </c>
      <c r="C31" s="21" t="s">
        <v>358</v>
      </c>
      <c r="D31" s="22" t="s">
        <v>359</v>
      </c>
      <c r="E31" s="22" t="s">
        <v>425</v>
      </c>
      <c r="F31" s="21" t="s">
        <v>116</v>
      </c>
      <c r="G31" s="22" t="s">
        <v>1111</v>
      </c>
      <c r="H31" s="23" t="s">
        <v>348</v>
      </c>
      <c r="I31" s="22"/>
      <c r="J31" s="8"/>
      <c r="K31" s="8"/>
    </row>
    <row r="32" spans="1:11" ht="201.6">
      <c r="A32" s="20">
        <v>13</v>
      </c>
      <c r="B32" s="20" t="s">
        <v>266</v>
      </c>
      <c r="C32" s="21" t="s">
        <v>360</v>
      </c>
      <c r="D32" s="22" t="s">
        <v>361</v>
      </c>
      <c r="E32" s="22" t="s">
        <v>425</v>
      </c>
      <c r="F32" s="21" t="s">
        <v>116</v>
      </c>
      <c r="G32" s="22" t="s">
        <v>1111</v>
      </c>
      <c r="H32" s="23" t="s">
        <v>348</v>
      </c>
      <c r="I32" s="22"/>
      <c r="J32" s="8"/>
      <c r="K32" s="8"/>
    </row>
    <row r="33" spans="1:11" ht="201.6">
      <c r="A33" s="20">
        <v>14</v>
      </c>
      <c r="B33" s="20" t="s">
        <v>266</v>
      </c>
      <c r="C33" s="21" t="s">
        <v>360</v>
      </c>
      <c r="D33" s="22" t="s">
        <v>362</v>
      </c>
      <c r="E33" s="22" t="s">
        <v>425</v>
      </c>
      <c r="F33" s="21" t="s">
        <v>116</v>
      </c>
      <c r="G33" s="22" t="s">
        <v>1111</v>
      </c>
      <c r="H33" s="23" t="s">
        <v>348</v>
      </c>
      <c r="I33" s="22"/>
      <c r="J33" s="8"/>
      <c r="K33" s="8"/>
    </row>
    <row r="34" spans="1:11" ht="108.6">
      <c r="A34" s="20">
        <v>14</v>
      </c>
      <c r="B34" s="20" t="s">
        <v>266</v>
      </c>
      <c r="C34" s="21" t="s">
        <v>363</v>
      </c>
      <c r="D34" s="22" t="s">
        <v>364</v>
      </c>
      <c r="E34" s="22" t="s">
        <v>61</v>
      </c>
      <c r="F34" s="21" t="s">
        <v>62</v>
      </c>
      <c r="G34" s="22" t="s">
        <v>1114</v>
      </c>
      <c r="H34" s="23" t="s">
        <v>348</v>
      </c>
      <c r="I34" s="22"/>
      <c r="J34" s="8"/>
      <c r="K34" s="8"/>
    </row>
    <row r="35" spans="1:11" ht="232.5">
      <c r="A35" s="20">
        <v>14</v>
      </c>
      <c r="B35" s="20" t="s">
        <v>266</v>
      </c>
      <c r="C35" s="21" t="s">
        <v>365</v>
      </c>
      <c r="D35" s="22" t="s">
        <v>366</v>
      </c>
      <c r="E35" s="22" t="s">
        <v>425</v>
      </c>
      <c r="F35" s="21" t="s">
        <v>116</v>
      </c>
      <c r="G35" s="22" t="s">
        <v>1115</v>
      </c>
      <c r="H35" s="23" t="s">
        <v>348</v>
      </c>
      <c r="I35" s="22"/>
      <c r="J35" s="8"/>
      <c r="K35" s="8"/>
    </row>
    <row r="36" spans="1:11" ht="201.6">
      <c r="A36" s="20">
        <v>14</v>
      </c>
      <c r="B36" s="20" t="s">
        <v>266</v>
      </c>
      <c r="C36" s="21" t="s">
        <v>368</v>
      </c>
      <c r="D36" s="22" t="s">
        <v>369</v>
      </c>
      <c r="E36" s="22" t="s">
        <v>425</v>
      </c>
      <c r="F36" s="21" t="s">
        <v>116</v>
      </c>
      <c r="G36" s="22" t="s">
        <v>1116</v>
      </c>
      <c r="H36" s="23" t="s">
        <v>348</v>
      </c>
      <c r="I36" s="22"/>
      <c r="J36" s="8"/>
      <c r="K36" s="8"/>
    </row>
    <row r="37" spans="1:11" ht="201.6">
      <c r="A37" s="6">
        <v>6</v>
      </c>
      <c r="B37" s="6" t="s">
        <v>57</v>
      </c>
      <c r="C37" s="6" t="s">
        <v>18</v>
      </c>
      <c r="D37" s="15" t="s">
        <v>66</v>
      </c>
      <c r="E37" s="15" t="s">
        <v>39</v>
      </c>
      <c r="F37" s="6" t="s">
        <v>21</v>
      </c>
      <c r="G37" s="15" t="s">
        <v>1117</v>
      </c>
      <c r="H37" s="12" t="s">
        <v>68</v>
      </c>
      <c r="I37" s="15"/>
      <c r="J37" s="8"/>
      <c r="K37" s="8"/>
    </row>
    <row r="38" spans="1:11" ht="155.1">
      <c r="A38" s="6">
        <v>6</v>
      </c>
      <c r="B38" s="6" t="s">
        <v>57</v>
      </c>
      <c r="C38" s="6" t="s">
        <v>18</v>
      </c>
      <c r="D38" s="15" t="s">
        <v>60</v>
      </c>
      <c r="E38" s="15" t="s">
        <v>61</v>
      </c>
      <c r="F38" s="6" t="s">
        <v>62</v>
      </c>
      <c r="G38" s="15" t="s">
        <v>63</v>
      </c>
      <c r="H38" s="12" t="s">
        <v>64</v>
      </c>
      <c r="I38" s="15"/>
      <c r="J38" s="8"/>
      <c r="K38" s="8"/>
    </row>
    <row r="39" spans="1:11" ht="216.95">
      <c r="A39" s="21">
        <v>11</v>
      </c>
      <c r="B39" s="21" t="s">
        <v>266</v>
      </c>
      <c r="C39" s="21" t="s">
        <v>275</v>
      </c>
      <c r="D39" s="22" t="s">
        <v>276</v>
      </c>
      <c r="E39" s="22" t="s">
        <v>61</v>
      </c>
      <c r="F39" s="21" t="s">
        <v>62</v>
      </c>
      <c r="G39" s="22" t="s">
        <v>277</v>
      </c>
      <c r="H39" s="23" t="s">
        <v>278</v>
      </c>
      <c r="I39" s="22"/>
      <c r="J39" s="8"/>
      <c r="K39" s="8"/>
    </row>
    <row r="40" spans="1:11" ht="77.45">
      <c r="A40" s="21">
        <v>14</v>
      </c>
      <c r="B40" s="21" t="s">
        <v>266</v>
      </c>
      <c r="C40" s="21" t="s">
        <v>385</v>
      </c>
      <c r="D40" s="22" t="s">
        <v>386</v>
      </c>
      <c r="E40" s="22" t="s">
        <v>61</v>
      </c>
      <c r="F40" s="21" t="s">
        <v>116</v>
      </c>
      <c r="G40" s="22" t="s">
        <v>387</v>
      </c>
      <c r="H40" s="23" t="s">
        <v>278</v>
      </c>
      <c r="I40" s="22"/>
      <c r="J40" s="8"/>
      <c r="K40" s="8"/>
    </row>
    <row r="41" spans="1:11" ht="155.1">
      <c r="A41" s="20">
        <v>14</v>
      </c>
      <c r="B41" s="20" t="s">
        <v>266</v>
      </c>
      <c r="C41" s="21" t="s">
        <v>370</v>
      </c>
      <c r="D41" s="22" t="s">
        <v>371</v>
      </c>
      <c r="E41" s="22" t="s">
        <v>425</v>
      </c>
      <c r="F41" s="21" t="s">
        <v>116</v>
      </c>
      <c r="G41" s="22" t="s">
        <v>372</v>
      </c>
      <c r="H41" s="23" t="s">
        <v>373</v>
      </c>
      <c r="I41" s="22"/>
      <c r="J41" s="8"/>
      <c r="K41" s="8"/>
    </row>
    <row r="42" spans="1:11" ht="186">
      <c r="A42" s="21">
        <v>14</v>
      </c>
      <c r="B42" s="21" t="s">
        <v>266</v>
      </c>
      <c r="C42" s="21" t="s">
        <v>382</v>
      </c>
      <c r="D42" s="22" t="s">
        <v>383</v>
      </c>
      <c r="E42" s="22" t="s">
        <v>425</v>
      </c>
      <c r="F42" s="21" t="s">
        <v>116</v>
      </c>
      <c r="G42" s="22" t="s">
        <v>384</v>
      </c>
      <c r="H42" s="23" t="s">
        <v>373</v>
      </c>
      <c r="I42" s="22"/>
      <c r="J42" s="8"/>
      <c r="K42" s="8"/>
    </row>
    <row r="43" spans="1:11" ht="356.45">
      <c r="A43" s="21">
        <v>14</v>
      </c>
      <c r="B43" s="21" t="s">
        <v>266</v>
      </c>
      <c r="C43" s="21" t="s">
        <v>389</v>
      </c>
      <c r="D43" s="22" t="s">
        <v>390</v>
      </c>
      <c r="E43" s="22" t="s">
        <v>425</v>
      </c>
      <c r="F43" s="21" t="s">
        <v>116</v>
      </c>
      <c r="G43" s="22" t="s">
        <v>391</v>
      </c>
      <c r="H43" s="23" t="s">
        <v>373</v>
      </c>
      <c r="I43" s="22"/>
      <c r="J43" s="8"/>
      <c r="K43" s="8"/>
    </row>
    <row r="44" spans="1:11" ht="170.45">
      <c r="A44" s="21">
        <v>14</v>
      </c>
      <c r="B44" s="21" t="s">
        <v>266</v>
      </c>
      <c r="C44" s="21" t="s">
        <v>400</v>
      </c>
      <c r="D44" s="22" t="s">
        <v>401</v>
      </c>
      <c r="E44" s="22" t="s">
        <v>425</v>
      </c>
      <c r="F44" s="21" t="s">
        <v>258</v>
      </c>
      <c r="G44" s="22" t="s">
        <v>402</v>
      </c>
      <c r="H44" s="23" t="s">
        <v>373</v>
      </c>
      <c r="I44" s="22"/>
      <c r="J44" s="8"/>
      <c r="K44" s="8"/>
    </row>
    <row r="45" spans="1:11" ht="186">
      <c r="A45" s="21">
        <v>15</v>
      </c>
      <c r="B45" s="21" t="s">
        <v>266</v>
      </c>
      <c r="C45" s="21" t="s">
        <v>415</v>
      </c>
      <c r="D45" s="22" t="s">
        <v>416</v>
      </c>
      <c r="E45" s="22" t="s">
        <v>425</v>
      </c>
      <c r="F45" s="21" t="s">
        <v>557</v>
      </c>
      <c r="G45" s="22" t="s">
        <v>417</v>
      </c>
      <c r="H45" s="23" t="s">
        <v>373</v>
      </c>
      <c r="I45" s="22"/>
      <c r="J45" s="8"/>
      <c r="K45" s="8"/>
    </row>
    <row r="46" spans="1:11" ht="93">
      <c r="A46" s="21">
        <v>15</v>
      </c>
      <c r="B46" s="21" t="s">
        <v>266</v>
      </c>
      <c r="C46" s="21" t="s">
        <v>418</v>
      </c>
      <c r="D46" s="22" t="s">
        <v>419</v>
      </c>
      <c r="E46" s="22" t="s">
        <v>425</v>
      </c>
      <c r="F46" s="21" t="s">
        <v>116</v>
      </c>
      <c r="G46" s="22" t="s">
        <v>420</v>
      </c>
      <c r="H46" s="23" t="s">
        <v>373</v>
      </c>
      <c r="I46" s="22"/>
      <c r="J46" s="8"/>
      <c r="K46" s="8"/>
    </row>
    <row r="47" spans="1:11" ht="248.1" hidden="1">
      <c r="A47" s="4">
        <v>10</v>
      </c>
      <c r="B47" s="6" t="s">
        <v>177</v>
      </c>
      <c r="C47" s="4" t="s">
        <v>198</v>
      </c>
      <c r="D47" s="5" t="s">
        <v>199</v>
      </c>
      <c r="E47" s="5" t="s">
        <v>20</v>
      </c>
      <c r="F47" s="4" t="s">
        <v>29</v>
      </c>
      <c r="G47" s="5" t="s">
        <v>200</v>
      </c>
      <c r="H47" s="12" t="s">
        <v>201</v>
      </c>
      <c r="I47" s="15" t="s">
        <v>1118</v>
      </c>
      <c r="J47" s="8"/>
      <c r="K47" s="8"/>
    </row>
    <row r="48" spans="1:11" ht="62.1">
      <c r="A48" s="21">
        <v>11</v>
      </c>
      <c r="B48" s="21" t="s">
        <v>177</v>
      </c>
      <c r="C48" s="21" t="s">
        <v>239</v>
      </c>
      <c r="D48" s="22" t="s">
        <v>240</v>
      </c>
      <c r="E48" s="22" t="s">
        <v>61</v>
      </c>
      <c r="F48" s="21" t="s">
        <v>116</v>
      </c>
      <c r="G48" s="22" t="s">
        <v>241</v>
      </c>
      <c r="H48" s="23" t="s">
        <v>242</v>
      </c>
      <c r="I48" s="22"/>
      <c r="J48" s="8"/>
      <c r="K48" s="8"/>
    </row>
    <row r="49" spans="1:11" ht="123.95">
      <c r="A49" s="21">
        <v>11</v>
      </c>
      <c r="B49" s="21" t="s">
        <v>177</v>
      </c>
      <c r="C49" s="21" t="s">
        <v>256</v>
      </c>
      <c r="D49" s="22" t="s">
        <v>257</v>
      </c>
      <c r="E49" s="22" t="s">
        <v>61</v>
      </c>
      <c r="F49" s="21" t="s">
        <v>258</v>
      </c>
      <c r="G49" s="22" t="s">
        <v>259</v>
      </c>
      <c r="H49" s="23" t="s">
        <v>260</v>
      </c>
      <c r="I49" s="22"/>
      <c r="J49" s="8"/>
      <c r="K49" s="8"/>
    </row>
    <row r="50" spans="1:11" ht="155.1">
      <c r="A50" s="13">
        <v>12</v>
      </c>
      <c r="B50" s="13" t="s">
        <v>266</v>
      </c>
      <c r="C50" s="13" t="s">
        <v>294</v>
      </c>
      <c r="D50" s="16" t="s">
        <v>295</v>
      </c>
      <c r="E50" s="16" t="s">
        <v>61</v>
      </c>
      <c r="F50" s="13" t="s">
        <v>62</v>
      </c>
      <c r="G50" s="16" t="s">
        <v>296</v>
      </c>
      <c r="H50" s="14" t="s">
        <v>297</v>
      </c>
      <c r="I50" s="16"/>
      <c r="J50" s="8"/>
      <c r="K50" s="8"/>
    </row>
    <row r="51" spans="1:11" ht="155.1">
      <c r="A51" s="13">
        <v>12</v>
      </c>
      <c r="B51" s="13" t="s">
        <v>266</v>
      </c>
      <c r="C51" s="13" t="s">
        <v>303</v>
      </c>
      <c r="D51" s="16" t="s">
        <v>304</v>
      </c>
      <c r="E51" s="16" t="s">
        <v>61</v>
      </c>
      <c r="F51" s="13" t="s">
        <v>62</v>
      </c>
      <c r="G51" s="16" t="s">
        <v>296</v>
      </c>
      <c r="H51" s="14" t="s">
        <v>297</v>
      </c>
      <c r="I51" s="16"/>
      <c r="J51" s="8"/>
      <c r="K51" s="8"/>
    </row>
    <row r="52" spans="1:11" ht="62.1">
      <c r="A52" s="6">
        <v>12</v>
      </c>
      <c r="B52" s="6" t="s">
        <v>266</v>
      </c>
      <c r="C52" s="6" t="s">
        <v>314</v>
      </c>
      <c r="D52" s="15" t="s">
        <v>1119</v>
      </c>
      <c r="E52" s="15" t="s">
        <v>61</v>
      </c>
      <c r="F52" s="6" t="s">
        <v>116</v>
      </c>
      <c r="G52" s="15" t="s">
        <v>316</v>
      </c>
      <c r="H52" s="12" t="s">
        <v>317</v>
      </c>
      <c r="I52" s="15"/>
      <c r="J52" s="8"/>
      <c r="K52" s="8"/>
    </row>
    <row r="53" spans="1:11" ht="263.45">
      <c r="A53" s="13">
        <v>5</v>
      </c>
      <c r="B53" s="13" t="s">
        <v>26</v>
      </c>
      <c r="C53" s="13" t="s">
        <v>41</v>
      </c>
      <c r="D53" s="16" t="s">
        <v>42</v>
      </c>
      <c r="E53" s="16" t="s">
        <v>20</v>
      </c>
      <c r="F53" s="13" t="s">
        <v>43</v>
      </c>
      <c r="G53" s="16" t="s">
        <v>44</v>
      </c>
      <c r="H53" s="14" t="s">
        <v>45</v>
      </c>
      <c r="I53" s="16"/>
      <c r="J53" s="8"/>
      <c r="K53" s="8"/>
    </row>
    <row r="54" spans="1:11" ht="108.6">
      <c r="A54" s="13">
        <v>12</v>
      </c>
      <c r="B54" s="13" t="s">
        <v>266</v>
      </c>
      <c r="C54" s="13" t="s">
        <v>306</v>
      </c>
      <c r="D54" s="16" t="s">
        <v>1120</v>
      </c>
      <c r="E54" s="16" t="s">
        <v>61</v>
      </c>
      <c r="F54" s="13" t="s">
        <v>116</v>
      </c>
      <c r="G54" s="16" t="s">
        <v>308</v>
      </c>
      <c r="H54" s="14" t="s">
        <v>45</v>
      </c>
      <c r="I54" s="16"/>
      <c r="J54" s="8"/>
      <c r="K54" s="8"/>
    </row>
    <row r="55" spans="1:11" ht="93">
      <c r="A55" s="13">
        <v>12</v>
      </c>
      <c r="B55" s="13" t="s">
        <v>266</v>
      </c>
      <c r="C55" s="13" t="s">
        <v>323</v>
      </c>
      <c r="D55" s="16" t="s">
        <v>1121</v>
      </c>
      <c r="E55" s="16" t="s">
        <v>61</v>
      </c>
      <c r="F55" s="13" t="s">
        <v>116</v>
      </c>
      <c r="G55" s="16" t="s">
        <v>325</v>
      </c>
      <c r="H55" s="14" t="s">
        <v>45</v>
      </c>
      <c r="I55" s="16"/>
      <c r="J55" s="8"/>
      <c r="K55" s="8"/>
    </row>
    <row r="56" spans="1:11" ht="325.5">
      <c r="A56" s="13">
        <v>15</v>
      </c>
      <c r="B56" s="13" t="s">
        <v>266</v>
      </c>
      <c r="C56" s="13" t="s">
        <v>423</v>
      </c>
      <c r="D56" s="16" t="s">
        <v>424</v>
      </c>
      <c r="E56" s="16" t="s">
        <v>425</v>
      </c>
      <c r="F56" s="13" t="s">
        <v>116</v>
      </c>
      <c r="G56" s="16" t="s">
        <v>426</v>
      </c>
      <c r="H56" s="14" t="s">
        <v>45</v>
      </c>
      <c r="I56" s="16"/>
      <c r="J56" s="8"/>
      <c r="K56" s="8"/>
    </row>
    <row r="57" spans="1:11" ht="248.1">
      <c r="A57" s="13">
        <v>15</v>
      </c>
      <c r="B57" s="13" t="s">
        <v>266</v>
      </c>
      <c r="C57" s="13" t="s">
        <v>428</v>
      </c>
      <c r="D57" s="16" t="s">
        <v>429</v>
      </c>
      <c r="E57" s="16" t="s">
        <v>20</v>
      </c>
      <c r="F57" s="13" t="s">
        <v>116</v>
      </c>
      <c r="G57" s="16" t="s">
        <v>430</v>
      </c>
      <c r="H57" s="14" t="s">
        <v>45</v>
      </c>
      <c r="I57" s="16"/>
      <c r="J57" s="8"/>
      <c r="K57" s="8"/>
    </row>
    <row r="58" spans="1:11" ht="372">
      <c r="A58" s="13">
        <v>16</v>
      </c>
      <c r="B58" s="13" t="s">
        <v>266</v>
      </c>
      <c r="C58" s="13" t="s">
        <v>432</v>
      </c>
      <c r="D58" s="16" t="s">
        <v>433</v>
      </c>
      <c r="E58" s="16" t="s">
        <v>20</v>
      </c>
      <c r="F58" s="13" t="s">
        <v>116</v>
      </c>
      <c r="G58" s="16" t="s">
        <v>434</v>
      </c>
      <c r="H58" s="14" t="s">
        <v>45</v>
      </c>
      <c r="I58" s="16"/>
      <c r="J58" s="8"/>
      <c r="K58" s="8"/>
    </row>
    <row r="59" spans="1:11" ht="186">
      <c r="A59" s="13">
        <v>16</v>
      </c>
      <c r="B59" s="13" t="s">
        <v>266</v>
      </c>
      <c r="C59" s="13" t="s">
        <v>435</v>
      </c>
      <c r="D59" s="16" t="s">
        <v>436</v>
      </c>
      <c r="E59" s="16" t="s">
        <v>425</v>
      </c>
      <c r="F59" s="13" t="s">
        <v>258</v>
      </c>
      <c r="G59" s="16" t="s">
        <v>437</v>
      </c>
      <c r="H59" s="14" t="s">
        <v>45</v>
      </c>
      <c r="I59" s="16"/>
      <c r="J59" s="8"/>
      <c r="K59" s="8"/>
    </row>
    <row r="60" spans="1:11" ht="232.5">
      <c r="A60" s="6">
        <v>19</v>
      </c>
      <c r="B60" s="6" t="s">
        <v>488</v>
      </c>
      <c r="C60" s="6" t="s">
        <v>555</v>
      </c>
      <c r="D60" s="15" t="s">
        <v>556</v>
      </c>
      <c r="E60" s="15" t="s">
        <v>39</v>
      </c>
      <c r="F60" s="6" t="s">
        <v>557</v>
      </c>
      <c r="G60" s="15" t="s">
        <v>558</v>
      </c>
      <c r="H60" s="12" t="s">
        <v>559</v>
      </c>
      <c r="I60" s="15"/>
      <c r="J60" s="8"/>
      <c r="K60" s="8"/>
    </row>
    <row r="61" spans="1:11" ht="216.95">
      <c r="A61" s="6">
        <v>17</v>
      </c>
      <c r="B61" s="6" t="s">
        <v>488</v>
      </c>
      <c r="C61" s="6" t="s">
        <v>192</v>
      </c>
      <c r="D61" s="15" t="s">
        <v>496</v>
      </c>
      <c r="E61" s="15" t="s">
        <v>39</v>
      </c>
      <c r="F61" s="6" t="s">
        <v>21</v>
      </c>
      <c r="G61" s="15" t="s">
        <v>497</v>
      </c>
      <c r="H61" s="12" t="s">
        <v>498</v>
      </c>
      <c r="I61" s="15"/>
      <c r="J61" s="8"/>
      <c r="K61" s="8"/>
    </row>
    <row r="62" spans="1:11" ht="186">
      <c r="A62" s="6">
        <v>17</v>
      </c>
      <c r="B62" s="6" t="s">
        <v>488</v>
      </c>
      <c r="C62" s="6" t="s">
        <v>500</v>
      </c>
      <c r="D62" s="15" t="s">
        <v>501</v>
      </c>
      <c r="E62" s="15" t="s">
        <v>39</v>
      </c>
      <c r="F62" s="6" t="s">
        <v>21</v>
      </c>
      <c r="G62" s="15" t="s">
        <v>497</v>
      </c>
      <c r="H62" s="12" t="s">
        <v>498</v>
      </c>
      <c r="I62" s="15"/>
      <c r="J62" s="8"/>
      <c r="K62" s="8"/>
    </row>
    <row r="63" spans="1:11" ht="170.45">
      <c r="A63" s="6">
        <v>17</v>
      </c>
      <c r="B63" s="6" t="s">
        <v>488</v>
      </c>
      <c r="C63" s="6" t="s">
        <v>198</v>
      </c>
      <c r="D63" s="15" t="s">
        <v>502</v>
      </c>
      <c r="E63" s="15" t="s">
        <v>39</v>
      </c>
      <c r="F63" s="6" t="s">
        <v>21</v>
      </c>
      <c r="G63" s="15" t="s">
        <v>503</v>
      </c>
      <c r="H63" s="12" t="s">
        <v>498</v>
      </c>
      <c r="I63" s="15"/>
      <c r="J63" s="8"/>
      <c r="K63" s="8"/>
    </row>
    <row r="64" spans="1:11" ht="263.45">
      <c r="A64" s="6">
        <v>17</v>
      </c>
      <c r="B64" s="6" t="s">
        <v>488</v>
      </c>
      <c r="C64" s="6" t="s">
        <v>203</v>
      </c>
      <c r="D64" s="15" t="s">
        <v>504</v>
      </c>
      <c r="E64" s="15" t="s">
        <v>425</v>
      </c>
      <c r="F64" s="6" t="s">
        <v>21</v>
      </c>
      <c r="G64" s="15" t="s">
        <v>505</v>
      </c>
      <c r="H64" s="12" t="s">
        <v>498</v>
      </c>
      <c r="I64" s="15"/>
      <c r="J64" s="8"/>
      <c r="K64" s="8"/>
    </row>
    <row r="65" spans="1:11" ht="232.5">
      <c r="A65" s="6">
        <v>17</v>
      </c>
      <c r="B65" s="6" t="s">
        <v>488</v>
      </c>
      <c r="C65" s="6" t="s">
        <v>506</v>
      </c>
      <c r="D65" s="15" t="s">
        <v>507</v>
      </c>
      <c r="E65" s="15" t="s">
        <v>425</v>
      </c>
      <c r="F65" s="6" t="s">
        <v>21</v>
      </c>
      <c r="G65" s="15" t="s">
        <v>508</v>
      </c>
      <c r="H65" s="12" t="s">
        <v>498</v>
      </c>
      <c r="I65" s="15"/>
      <c r="J65" s="8"/>
      <c r="K65" s="8"/>
    </row>
    <row r="66" spans="1:11" ht="108.6">
      <c r="A66" s="6">
        <v>5</v>
      </c>
      <c r="B66" s="6" t="s">
        <v>17</v>
      </c>
      <c r="C66" s="6" t="s">
        <v>18</v>
      </c>
      <c r="D66" s="15" t="s">
        <v>19</v>
      </c>
      <c r="E66" s="15" t="s">
        <v>20</v>
      </c>
      <c r="F66" s="6" t="s">
        <v>21</v>
      </c>
      <c r="G66" s="15" t="s">
        <v>23</v>
      </c>
      <c r="H66" s="12"/>
      <c r="I66" s="15"/>
      <c r="J66" s="8"/>
      <c r="K66" s="8"/>
    </row>
    <row r="67" spans="1:11" ht="123.95">
      <c r="A67" s="6">
        <v>6</v>
      </c>
      <c r="B67" s="6" t="s">
        <v>57</v>
      </c>
      <c r="C67" s="6" t="s">
        <v>18</v>
      </c>
      <c r="D67" s="15" t="s">
        <v>58</v>
      </c>
      <c r="E67" s="15" t="s">
        <v>20</v>
      </c>
      <c r="F67" s="6" t="s">
        <v>21</v>
      </c>
      <c r="G67" s="15" t="s">
        <v>59</v>
      </c>
      <c r="H67" s="12"/>
      <c r="I67" s="15"/>
      <c r="J67" s="8"/>
      <c r="K67" s="8"/>
    </row>
    <row r="68" spans="1:11" ht="123.95">
      <c r="A68" s="6">
        <v>6</v>
      </c>
      <c r="B68" s="6" t="s">
        <v>75</v>
      </c>
      <c r="C68" s="6" t="s">
        <v>18</v>
      </c>
      <c r="D68" s="15" t="s">
        <v>76</v>
      </c>
      <c r="E68" s="15" t="s">
        <v>20</v>
      </c>
      <c r="F68" s="6" t="s">
        <v>21</v>
      </c>
      <c r="G68" s="15" t="s">
        <v>77</v>
      </c>
      <c r="H68" s="12"/>
      <c r="I68" s="15"/>
      <c r="J68" s="8"/>
      <c r="K68" s="8"/>
    </row>
    <row r="69" spans="1:11" ht="108.6">
      <c r="A69" s="6">
        <v>6</v>
      </c>
      <c r="B69" s="6" t="s">
        <v>78</v>
      </c>
      <c r="C69" s="6" t="s">
        <v>82</v>
      </c>
      <c r="D69" s="15" t="s">
        <v>83</v>
      </c>
      <c r="E69" s="15" t="s">
        <v>39</v>
      </c>
      <c r="F69" s="6" t="s">
        <v>43</v>
      </c>
      <c r="G69" s="15" t="s">
        <v>84</v>
      </c>
      <c r="H69" s="12"/>
      <c r="I69" s="15"/>
      <c r="J69" s="8"/>
      <c r="K69" s="8"/>
    </row>
    <row r="70" spans="1:11" ht="93" hidden="1">
      <c r="A70" s="4">
        <v>5</v>
      </c>
      <c r="B70" s="4" t="s">
        <v>26</v>
      </c>
      <c r="C70" s="4" t="s">
        <v>50</v>
      </c>
      <c r="D70" s="5" t="s">
        <v>51</v>
      </c>
      <c r="E70" s="5" t="s">
        <v>20</v>
      </c>
      <c r="F70" s="4" t="s">
        <v>29</v>
      </c>
      <c r="G70" s="5" t="s">
        <v>52</v>
      </c>
      <c r="H70" s="12"/>
      <c r="I70" s="15"/>
      <c r="J70" s="8"/>
      <c r="K70" s="8"/>
    </row>
    <row r="71" spans="1:11" ht="77.45" hidden="1">
      <c r="A71" s="4">
        <v>5</v>
      </c>
      <c r="B71" s="4" t="s">
        <v>26</v>
      </c>
      <c r="C71" s="4" t="s">
        <v>54</v>
      </c>
      <c r="D71" s="5" t="s">
        <v>55</v>
      </c>
      <c r="E71" s="5" t="s">
        <v>20</v>
      </c>
      <c r="F71" s="4" t="s">
        <v>29</v>
      </c>
      <c r="G71" s="5" t="s">
        <v>56</v>
      </c>
      <c r="H71" s="12"/>
      <c r="I71" s="15"/>
      <c r="J71" s="8"/>
      <c r="K71" s="8"/>
    </row>
    <row r="72" spans="1:11" ht="139.5" hidden="1">
      <c r="A72" s="4">
        <v>7</v>
      </c>
      <c r="B72" s="6" t="s">
        <v>78</v>
      </c>
      <c r="C72" s="4" t="s">
        <v>87</v>
      </c>
      <c r="D72" s="5" t="s">
        <v>93</v>
      </c>
      <c r="E72" s="5" t="s">
        <v>61</v>
      </c>
      <c r="F72" s="4" t="s">
        <v>29</v>
      </c>
      <c r="G72" s="5" t="s">
        <v>94</v>
      </c>
      <c r="H72" s="12"/>
      <c r="I72" s="15"/>
      <c r="J72" s="8"/>
      <c r="K72" s="8"/>
    </row>
    <row r="73" spans="1:11" ht="279">
      <c r="A73" s="6">
        <v>7</v>
      </c>
      <c r="B73" s="6" t="s">
        <v>78</v>
      </c>
      <c r="C73" s="6" t="s">
        <v>114</v>
      </c>
      <c r="D73" s="15" t="s">
        <v>115</v>
      </c>
      <c r="E73" s="15" t="s">
        <v>20</v>
      </c>
      <c r="F73" s="6" t="s">
        <v>116</v>
      </c>
      <c r="G73" s="15" t="s">
        <v>117</v>
      </c>
      <c r="H73" s="12"/>
      <c r="I73" s="15"/>
      <c r="J73" s="8"/>
      <c r="K73" s="8"/>
    </row>
    <row r="74" spans="1:11" ht="123.95" hidden="1">
      <c r="A74" s="4">
        <v>7</v>
      </c>
      <c r="B74" s="6" t="s">
        <v>78</v>
      </c>
      <c r="C74" s="4" t="s">
        <v>102</v>
      </c>
      <c r="D74" s="5" t="s">
        <v>103</v>
      </c>
      <c r="E74" s="5" t="s">
        <v>39</v>
      </c>
      <c r="F74" s="4" t="s">
        <v>29</v>
      </c>
      <c r="G74" s="5" t="s">
        <v>104</v>
      </c>
      <c r="H74" s="12"/>
      <c r="I74" s="15"/>
      <c r="J74" s="8"/>
      <c r="K74" s="8"/>
    </row>
    <row r="75" spans="1:11" ht="108.6" hidden="1">
      <c r="A75" s="4">
        <v>7</v>
      </c>
      <c r="B75" s="6" t="s">
        <v>78</v>
      </c>
      <c r="C75" s="4" t="s">
        <v>106</v>
      </c>
      <c r="D75" s="5" t="s">
        <v>107</v>
      </c>
      <c r="E75" s="5" t="s">
        <v>39</v>
      </c>
      <c r="F75" s="4" t="s">
        <v>29</v>
      </c>
      <c r="G75" s="5" t="s">
        <v>108</v>
      </c>
      <c r="H75" s="12"/>
      <c r="I75" s="15"/>
      <c r="J75" s="8"/>
      <c r="K75" s="8"/>
    </row>
    <row r="76" spans="1:11" ht="77.45" hidden="1">
      <c r="A76" s="4">
        <v>7</v>
      </c>
      <c r="B76" s="6" t="s">
        <v>78</v>
      </c>
      <c r="C76" s="4" t="s">
        <v>110</v>
      </c>
      <c r="D76" s="5" t="s">
        <v>111</v>
      </c>
      <c r="E76" s="5" t="s">
        <v>61</v>
      </c>
      <c r="F76" s="4" t="s">
        <v>29</v>
      </c>
      <c r="G76" s="7" t="s">
        <v>56</v>
      </c>
      <c r="H76" s="12"/>
      <c r="I76" s="15"/>
      <c r="J76" s="8"/>
      <c r="K76" s="8"/>
    </row>
    <row r="77" spans="1:11" ht="294.60000000000002" hidden="1">
      <c r="A77" s="4">
        <v>7</v>
      </c>
      <c r="B77" s="6" t="s">
        <v>78</v>
      </c>
      <c r="C77" s="4" t="s">
        <v>120</v>
      </c>
      <c r="D77" s="5" t="s">
        <v>121</v>
      </c>
      <c r="E77" s="5" t="s">
        <v>39</v>
      </c>
      <c r="F77" s="4" t="s">
        <v>29</v>
      </c>
      <c r="G77" s="5" t="s">
        <v>122</v>
      </c>
      <c r="H77" s="12"/>
      <c r="I77" s="15"/>
      <c r="J77" s="8"/>
      <c r="K77" s="8"/>
    </row>
    <row r="78" spans="1:11" ht="62.1" hidden="1">
      <c r="A78" s="4">
        <v>7</v>
      </c>
      <c r="B78" s="6" t="s">
        <v>78</v>
      </c>
      <c r="C78" s="4" t="s">
        <v>128</v>
      </c>
      <c r="D78" s="5" t="s">
        <v>129</v>
      </c>
      <c r="E78" s="5" t="s">
        <v>61</v>
      </c>
      <c r="F78" s="4" t="s">
        <v>29</v>
      </c>
      <c r="G78" s="7" t="s">
        <v>56</v>
      </c>
      <c r="H78" s="12"/>
      <c r="I78" s="15"/>
      <c r="J78" s="8"/>
      <c r="K78" s="8"/>
    </row>
    <row r="79" spans="1:11" ht="93" hidden="1">
      <c r="A79" s="4">
        <v>7</v>
      </c>
      <c r="B79" s="6" t="s">
        <v>78</v>
      </c>
      <c r="C79" s="4" t="s">
        <v>130</v>
      </c>
      <c r="D79" s="5" t="s">
        <v>131</v>
      </c>
      <c r="E79" s="5" t="s">
        <v>39</v>
      </c>
      <c r="F79" s="4" t="s">
        <v>29</v>
      </c>
      <c r="G79" s="5" t="s">
        <v>132</v>
      </c>
      <c r="H79" s="12"/>
      <c r="I79" s="15"/>
      <c r="J79" s="8"/>
      <c r="K79" s="8"/>
    </row>
    <row r="80" spans="1:11" ht="186">
      <c r="A80" s="6">
        <v>8</v>
      </c>
      <c r="B80" s="6" t="s">
        <v>78</v>
      </c>
      <c r="C80" s="6" t="s">
        <v>146</v>
      </c>
      <c r="D80" s="15" t="s">
        <v>147</v>
      </c>
      <c r="E80" s="15" t="s">
        <v>39</v>
      </c>
      <c r="F80" s="6" t="s">
        <v>21</v>
      </c>
      <c r="G80" s="15" t="s">
        <v>148</v>
      </c>
      <c r="H80" s="12"/>
      <c r="I80" s="15"/>
      <c r="J80" s="8"/>
      <c r="K80" s="8"/>
    </row>
    <row r="81" spans="1:11" ht="139.5" hidden="1">
      <c r="A81" s="4">
        <v>7</v>
      </c>
      <c r="B81" s="6" t="s">
        <v>78</v>
      </c>
      <c r="C81" s="4" t="s">
        <v>137</v>
      </c>
      <c r="D81" s="5" t="s">
        <v>138</v>
      </c>
      <c r="E81" s="5" t="s">
        <v>61</v>
      </c>
      <c r="F81" s="4" t="s">
        <v>29</v>
      </c>
      <c r="G81" s="7" t="s">
        <v>56</v>
      </c>
      <c r="H81" s="12"/>
      <c r="I81" s="15"/>
      <c r="J81" s="8"/>
      <c r="K81" s="8"/>
    </row>
    <row r="82" spans="1:11" ht="186" hidden="1">
      <c r="A82" s="4">
        <v>7</v>
      </c>
      <c r="B82" s="6" t="s">
        <v>78</v>
      </c>
      <c r="C82" s="4" t="s">
        <v>139</v>
      </c>
      <c r="D82" s="5" t="s">
        <v>140</v>
      </c>
      <c r="E82" s="5" t="s">
        <v>39</v>
      </c>
      <c r="F82" s="4" t="s">
        <v>29</v>
      </c>
      <c r="G82" s="5" t="s">
        <v>141</v>
      </c>
      <c r="H82" s="12"/>
      <c r="I82" s="15"/>
      <c r="J82" s="8"/>
      <c r="K82" s="8"/>
    </row>
    <row r="83" spans="1:11" ht="77.45" hidden="1">
      <c r="A83" s="4">
        <v>8</v>
      </c>
      <c r="B83" s="6" t="s">
        <v>78</v>
      </c>
      <c r="C83" s="4" t="s">
        <v>143</v>
      </c>
      <c r="D83" s="5" t="s">
        <v>144</v>
      </c>
      <c r="E83" s="5" t="s">
        <v>39</v>
      </c>
      <c r="F83" s="4" t="s">
        <v>29</v>
      </c>
      <c r="G83" s="5" t="s">
        <v>145</v>
      </c>
      <c r="H83" s="12"/>
      <c r="I83" s="15"/>
      <c r="J83" s="8"/>
      <c r="K83" s="8"/>
    </row>
    <row r="84" spans="1:11" ht="77.45" hidden="1">
      <c r="A84" s="4">
        <v>8</v>
      </c>
      <c r="B84" s="6" t="s">
        <v>78</v>
      </c>
      <c r="C84" s="4" t="s">
        <v>149</v>
      </c>
      <c r="D84" s="5" t="s">
        <v>150</v>
      </c>
      <c r="E84" s="5" t="s">
        <v>39</v>
      </c>
      <c r="F84" s="4" t="s">
        <v>29</v>
      </c>
      <c r="G84" s="5" t="s">
        <v>151</v>
      </c>
      <c r="H84" s="12"/>
      <c r="I84" s="15"/>
      <c r="J84" s="8"/>
      <c r="K84" s="8"/>
    </row>
    <row r="85" spans="1:11" ht="155.1" hidden="1">
      <c r="A85" s="4">
        <v>8</v>
      </c>
      <c r="B85" s="6" t="s">
        <v>78</v>
      </c>
      <c r="C85" s="4" t="s">
        <v>152</v>
      </c>
      <c r="D85" s="5" t="s">
        <v>153</v>
      </c>
      <c r="E85" s="5" t="s">
        <v>61</v>
      </c>
      <c r="F85" s="4" t="s">
        <v>29</v>
      </c>
      <c r="G85" s="5" t="s">
        <v>94</v>
      </c>
      <c r="H85" s="12"/>
      <c r="I85" s="15"/>
      <c r="J85" s="8"/>
      <c r="K85" s="8"/>
    </row>
    <row r="86" spans="1:11" ht="170.45" hidden="1">
      <c r="A86" s="4">
        <v>8</v>
      </c>
      <c r="B86" s="6" t="s">
        <v>78</v>
      </c>
      <c r="C86" s="4" t="s">
        <v>156</v>
      </c>
      <c r="D86" s="5" t="s">
        <v>157</v>
      </c>
      <c r="E86" s="5" t="s">
        <v>39</v>
      </c>
      <c r="F86" s="4" t="s">
        <v>29</v>
      </c>
      <c r="G86" s="5" t="s">
        <v>108</v>
      </c>
      <c r="H86" s="12"/>
      <c r="I86" s="15"/>
      <c r="J86" s="8"/>
      <c r="K86" s="8"/>
    </row>
    <row r="87" spans="1:11" ht="93" hidden="1">
      <c r="A87" s="4">
        <v>8</v>
      </c>
      <c r="B87" s="6" t="s">
        <v>78</v>
      </c>
      <c r="C87" s="4" t="s">
        <v>160</v>
      </c>
      <c r="D87" s="5" t="s">
        <v>161</v>
      </c>
      <c r="E87" s="5" t="s">
        <v>39</v>
      </c>
      <c r="F87" s="4" t="s">
        <v>29</v>
      </c>
      <c r="G87" s="5" t="s">
        <v>162</v>
      </c>
      <c r="H87" s="12"/>
      <c r="I87" s="15"/>
      <c r="J87" s="8"/>
      <c r="K87" s="8"/>
    </row>
    <row r="88" spans="1:11" ht="294.60000000000002" hidden="1">
      <c r="A88" s="4">
        <v>8</v>
      </c>
      <c r="B88" s="6" t="s">
        <v>78</v>
      </c>
      <c r="C88" s="4" t="s">
        <v>163</v>
      </c>
      <c r="D88" s="5" t="s">
        <v>1122</v>
      </c>
      <c r="E88" s="5" t="s">
        <v>20</v>
      </c>
      <c r="F88" s="4" t="s">
        <v>29</v>
      </c>
      <c r="G88" s="5" t="s">
        <v>164</v>
      </c>
      <c r="H88" s="12"/>
      <c r="I88" s="15"/>
      <c r="J88" s="8"/>
      <c r="K88" s="8"/>
    </row>
    <row r="89" spans="1:11" ht="356.45" hidden="1">
      <c r="A89" s="4">
        <v>8</v>
      </c>
      <c r="B89" s="6" t="s">
        <v>78</v>
      </c>
      <c r="C89" s="4" t="s">
        <v>166</v>
      </c>
      <c r="D89" s="5" t="s">
        <v>167</v>
      </c>
      <c r="E89" s="5" t="s">
        <v>20</v>
      </c>
      <c r="F89" s="4" t="s">
        <v>29</v>
      </c>
      <c r="G89" s="5" t="s">
        <v>168</v>
      </c>
      <c r="H89" s="12"/>
      <c r="I89" s="15"/>
      <c r="J89" s="8"/>
      <c r="K89" s="8"/>
    </row>
    <row r="90" spans="1:11" ht="123.95" hidden="1">
      <c r="A90" s="4">
        <v>8</v>
      </c>
      <c r="B90" s="6" t="s">
        <v>78</v>
      </c>
      <c r="C90" s="4" t="s">
        <v>169</v>
      </c>
      <c r="D90" s="5" t="s">
        <v>170</v>
      </c>
      <c r="E90" s="5" t="s">
        <v>39</v>
      </c>
      <c r="F90" s="4" t="s">
        <v>29</v>
      </c>
      <c r="G90" s="5" t="s">
        <v>171</v>
      </c>
      <c r="H90" s="12"/>
      <c r="I90" s="15"/>
      <c r="J90" s="8"/>
      <c r="K90" s="8"/>
    </row>
    <row r="91" spans="1:11" ht="216.95">
      <c r="A91" s="6">
        <v>9</v>
      </c>
      <c r="B91" s="6" t="s">
        <v>177</v>
      </c>
      <c r="C91" s="6" t="s">
        <v>178</v>
      </c>
      <c r="D91" s="15" t="s">
        <v>179</v>
      </c>
      <c r="E91" s="15" t="s">
        <v>39</v>
      </c>
      <c r="F91" s="6" t="s">
        <v>21</v>
      </c>
      <c r="G91" s="15" t="s">
        <v>180</v>
      </c>
      <c r="H91" s="12"/>
      <c r="I91" s="15"/>
      <c r="J91" s="8"/>
      <c r="K91" s="8"/>
    </row>
    <row r="92" spans="1:11" ht="123.95" hidden="1">
      <c r="A92" s="4">
        <v>8</v>
      </c>
      <c r="B92" s="6" t="s">
        <v>78</v>
      </c>
      <c r="C92" s="4" t="s">
        <v>172</v>
      </c>
      <c r="D92" s="5" t="s">
        <v>173</v>
      </c>
      <c r="E92" s="5" t="s">
        <v>39</v>
      </c>
      <c r="F92" s="4" t="s">
        <v>29</v>
      </c>
      <c r="G92" s="5" t="s">
        <v>171</v>
      </c>
      <c r="H92" s="12"/>
      <c r="I92" s="15"/>
      <c r="J92" s="8"/>
      <c r="K92" s="8"/>
    </row>
    <row r="93" spans="1:11" ht="123.95" hidden="1">
      <c r="A93" s="4">
        <v>8</v>
      </c>
      <c r="B93" s="6" t="s">
        <v>78</v>
      </c>
      <c r="C93" s="4" t="s">
        <v>175</v>
      </c>
      <c r="D93" s="5" t="s">
        <v>176</v>
      </c>
      <c r="E93" s="5" t="s">
        <v>39</v>
      </c>
      <c r="F93" s="4" t="s">
        <v>29</v>
      </c>
      <c r="G93" s="5" t="s">
        <v>171</v>
      </c>
      <c r="H93" s="12"/>
      <c r="I93" s="15"/>
      <c r="J93" s="8"/>
      <c r="K93" s="8"/>
    </row>
    <row r="94" spans="1:11" ht="139.5" hidden="1">
      <c r="A94" s="4">
        <v>9</v>
      </c>
      <c r="B94" s="6" t="s">
        <v>177</v>
      </c>
      <c r="C94" s="4" t="s">
        <v>182</v>
      </c>
      <c r="D94" s="5" t="s">
        <v>183</v>
      </c>
      <c r="E94" s="5" t="s">
        <v>39</v>
      </c>
      <c r="F94" s="4" t="s">
        <v>29</v>
      </c>
      <c r="G94" s="5" t="s">
        <v>184</v>
      </c>
      <c r="H94" s="12"/>
      <c r="I94" s="15"/>
      <c r="J94" s="8"/>
      <c r="K94" s="8"/>
    </row>
    <row r="95" spans="1:11" ht="93" hidden="1">
      <c r="A95" s="4">
        <v>9</v>
      </c>
      <c r="B95" s="6" t="s">
        <v>177</v>
      </c>
      <c r="C95" s="4" t="s">
        <v>185</v>
      </c>
      <c r="D95" s="5" t="s">
        <v>186</v>
      </c>
      <c r="E95" s="5" t="s">
        <v>39</v>
      </c>
      <c r="F95" s="4" t="s">
        <v>29</v>
      </c>
      <c r="G95" s="5" t="s">
        <v>184</v>
      </c>
      <c r="H95" s="12"/>
      <c r="I95" s="15"/>
      <c r="J95" s="8"/>
      <c r="K95" s="8"/>
    </row>
    <row r="96" spans="1:11" ht="93" hidden="1">
      <c r="A96" s="4">
        <v>9</v>
      </c>
      <c r="B96" s="6" t="s">
        <v>177</v>
      </c>
      <c r="C96" s="4" t="s">
        <v>187</v>
      </c>
      <c r="D96" s="5" t="s">
        <v>188</v>
      </c>
      <c r="E96" s="5" t="s">
        <v>39</v>
      </c>
      <c r="F96" s="4" t="s">
        <v>29</v>
      </c>
      <c r="G96" s="5" t="s">
        <v>184</v>
      </c>
      <c r="H96" s="12"/>
      <c r="I96" s="15"/>
      <c r="J96" s="8"/>
      <c r="K96" s="8"/>
    </row>
    <row r="97" spans="1:11" ht="155.1" hidden="1">
      <c r="A97" s="4">
        <v>9</v>
      </c>
      <c r="B97" s="6" t="s">
        <v>177</v>
      </c>
      <c r="C97" s="4" t="s">
        <v>189</v>
      </c>
      <c r="D97" s="5" t="s">
        <v>190</v>
      </c>
      <c r="E97" s="5" t="s">
        <v>39</v>
      </c>
      <c r="F97" s="4" t="s">
        <v>29</v>
      </c>
      <c r="G97" s="5" t="s">
        <v>191</v>
      </c>
      <c r="H97" s="12"/>
      <c r="I97" s="15"/>
      <c r="J97" s="8"/>
      <c r="K97" s="8"/>
    </row>
    <row r="98" spans="1:11" ht="123.95" hidden="1">
      <c r="A98" s="4">
        <v>10</v>
      </c>
      <c r="B98" s="6" t="s">
        <v>177</v>
      </c>
      <c r="C98" s="4" t="s">
        <v>210</v>
      </c>
      <c r="D98" s="5" t="s">
        <v>211</v>
      </c>
      <c r="E98" s="5" t="s">
        <v>20</v>
      </c>
      <c r="F98" s="4" t="s">
        <v>29</v>
      </c>
      <c r="G98" s="5" t="s">
        <v>212</v>
      </c>
      <c r="H98" s="12"/>
      <c r="I98" s="15"/>
      <c r="J98" s="8"/>
      <c r="K98" s="8"/>
    </row>
    <row r="99" spans="1:11" ht="123.95" hidden="1">
      <c r="A99" s="4">
        <v>10</v>
      </c>
      <c r="B99" s="6" t="s">
        <v>177</v>
      </c>
      <c r="C99" s="4" t="s">
        <v>213</v>
      </c>
      <c r="D99" s="5" t="s">
        <v>214</v>
      </c>
      <c r="E99" s="5" t="s">
        <v>39</v>
      </c>
      <c r="F99" s="4" t="s">
        <v>29</v>
      </c>
      <c r="G99" s="5" t="s">
        <v>212</v>
      </c>
      <c r="H99" s="12"/>
      <c r="I99" s="15"/>
      <c r="J99" s="8"/>
      <c r="K99" s="8"/>
    </row>
    <row r="100" spans="1:11" ht="123.95" hidden="1">
      <c r="A100" s="4">
        <v>10</v>
      </c>
      <c r="B100" s="6" t="s">
        <v>177</v>
      </c>
      <c r="C100" s="4" t="s">
        <v>215</v>
      </c>
      <c r="D100" s="5" t="s">
        <v>216</v>
      </c>
      <c r="E100" s="5" t="s">
        <v>39</v>
      </c>
      <c r="F100" s="4" t="s">
        <v>29</v>
      </c>
      <c r="G100" s="5" t="s">
        <v>212</v>
      </c>
      <c r="H100" s="12"/>
      <c r="I100" s="15"/>
      <c r="J100" s="8"/>
      <c r="K100" s="8"/>
    </row>
    <row r="101" spans="1:11" ht="123.95" hidden="1">
      <c r="A101" s="4">
        <v>10</v>
      </c>
      <c r="B101" s="6" t="s">
        <v>177</v>
      </c>
      <c r="C101" s="4" t="s">
        <v>217</v>
      </c>
      <c r="D101" s="5" t="s">
        <v>218</v>
      </c>
      <c r="E101" s="5" t="s">
        <v>39</v>
      </c>
      <c r="F101" s="4" t="s">
        <v>29</v>
      </c>
      <c r="G101" s="5" t="s">
        <v>212</v>
      </c>
      <c r="H101" s="12"/>
      <c r="I101" s="15"/>
      <c r="J101" s="8"/>
      <c r="K101" s="8"/>
    </row>
    <row r="102" spans="1:11" ht="155.1" hidden="1">
      <c r="A102" s="4">
        <v>10</v>
      </c>
      <c r="B102" s="6" t="s">
        <v>177</v>
      </c>
      <c r="C102" s="4" t="s">
        <v>219</v>
      </c>
      <c r="D102" s="5" t="s">
        <v>220</v>
      </c>
      <c r="E102" s="5" t="s">
        <v>39</v>
      </c>
      <c r="F102" s="4" t="s">
        <v>29</v>
      </c>
      <c r="G102" s="5" t="s">
        <v>212</v>
      </c>
      <c r="H102" s="12"/>
      <c r="I102" s="15"/>
      <c r="J102" s="8"/>
      <c r="K102" s="8"/>
    </row>
    <row r="103" spans="1:11" ht="108.6" hidden="1">
      <c r="A103" s="4">
        <v>10</v>
      </c>
      <c r="B103" s="6" t="s">
        <v>177</v>
      </c>
      <c r="C103" s="4" t="s">
        <v>221</v>
      </c>
      <c r="D103" s="5" t="s">
        <v>222</v>
      </c>
      <c r="E103" s="5" t="s">
        <v>39</v>
      </c>
      <c r="F103" s="4" t="s">
        <v>29</v>
      </c>
      <c r="G103" s="5" t="s">
        <v>223</v>
      </c>
      <c r="H103" s="12"/>
      <c r="I103" s="15"/>
      <c r="J103" s="8"/>
      <c r="K103" s="8"/>
    </row>
    <row r="104" spans="1:11" ht="93" hidden="1">
      <c r="A104" s="4">
        <v>10</v>
      </c>
      <c r="B104" s="6" t="s">
        <v>177</v>
      </c>
      <c r="C104" s="4" t="s">
        <v>224</v>
      </c>
      <c r="D104" s="5" t="s">
        <v>225</v>
      </c>
      <c r="E104" s="5" t="s">
        <v>39</v>
      </c>
      <c r="F104" s="4" t="s">
        <v>29</v>
      </c>
      <c r="G104" s="5" t="s">
        <v>223</v>
      </c>
      <c r="H104" s="12"/>
      <c r="I104" s="15"/>
      <c r="J104" s="8"/>
      <c r="K104" s="8"/>
    </row>
    <row r="105" spans="1:11" ht="139.5" hidden="1">
      <c r="A105" s="4">
        <v>10</v>
      </c>
      <c r="B105" s="6" t="s">
        <v>177</v>
      </c>
      <c r="C105" s="4" t="s">
        <v>226</v>
      </c>
      <c r="D105" s="5" t="s">
        <v>227</v>
      </c>
      <c r="E105" s="5" t="s">
        <v>39</v>
      </c>
      <c r="F105" s="4" t="s">
        <v>29</v>
      </c>
      <c r="G105" s="5" t="s">
        <v>223</v>
      </c>
      <c r="H105" s="12"/>
      <c r="I105" s="15"/>
      <c r="J105" s="8"/>
      <c r="K105" s="8"/>
    </row>
    <row r="106" spans="1:11" ht="93" hidden="1">
      <c r="A106" s="4">
        <v>10</v>
      </c>
      <c r="B106" s="6" t="s">
        <v>177</v>
      </c>
      <c r="C106" s="4" t="s">
        <v>228</v>
      </c>
      <c r="D106" s="5" t="s">
        <v>229</v>
      </c>
      <c r="E106" s="5" t="s">
        <v>39</v>
      </c>
      <c r="F106" s="4" t="s">
        <v>29</v>
      </c>
      <c r="G106" s="5" t="s">
        <v>223</v>
      </c>
      <c r="H106" s="12"/>
      <c r="I106" s="15"/>
      <c r="J106" s="8"/>
      <c r="K106" s="8"/>
    </row>
    <row r="107" spans="1:11" ht="139.5" hidden="1">
      <c r="A107" s="4">
        <v>10</v>
      </c>
      <c r="B107" s="6" t="s">
        <v>177</v>
      </c>
      <c r="C107" s="4" t="s">
        <v>230</v>
      </c>
      <c r="D107" s="5" t="s">
        <v>231</v>
      </c>
      <c r="E107" s="5" t="s">
        <v>39</v>
      </c>
      <c r="F107" s="4" t="s">
        <v>29</v>
      </c>
      <c r="G107" s="5" t="s">
        <v>212</v>
      </c>
      <c r="H107" s="12"/>
      <c r="I107" s="15"/>
      <c r="J107" s="8"/>
      <c r="K107" s="8"/>
    </row>
    <row r="108" spans="1:11" ht="123.95" hidden="1">
      <c r="A108" s="4">
        <v>10</v>
      </c>
      <c r="B108" s="6" t="s">
        <v>177</v>
      </c>
      <c r="C108" s="4" t="s">
        <v>232</v>
      </c>
      <c r="D108" s="5" t="s">
        <v>233</v>
      </c>
      <c r="E108" s="5" t="s">
        <v>39</v>
      </c>
      <c r="F108" s="4" t="s">
        <v>29</v>
      </c>
      <c r="G108" s="5" t="s">
        <v>212</v>
      </c>
      <c r="H108" s="12"/>
      <c r="I108" s="15"/>
      <c r="J108" s="8"/>
      <c r="K108" s="8"/>
    </row>
    <row r="109" spans="1:11" ht="62.1" hidden="1">
      <c r="A109" s="4">
        <v>11</v>
      </c>
      <c r="B109" s="6" t="s">
        <v>177</v>
      </c>
      <c r="C109" s="4" t="s">
        <v>234</v>
      </c>
      <c r="D109" s="5" t="s">
        <v>235</v>
      </c>
      <c r="E109" s="5" t="s">
        <v>61</v>
      </c>
      <c r="F109" s="4" t="s">
        <v>29</v>
      </c>
      <c r="G109" s="5" t="s">
        <v>236</v>
      </c>
      <c r="H109" s="12"/>
      <c r="I109" s="15"/>
      <c r="J109" s="8"/>
      <c r="K109" s="8"/>
    </row>
    <row r="110" spans="1:11" ht="62.1" hidden="1">
      <c r="A110" s="4">
        <v>11</v>
      </c>
      <c r="B110" s="6" t="s">
        <v>177</v>
      </c>
      <c r="C110" s="4" t="s">
        <v>237</v>
      </c>
      <c r="D110" s="5" t="s">
        <v>238</v>
      </c>
      <c r="E110" s="5" t="s">
        <v>61</v>
      </c>
      <c r="F110" s="4" t="s">
        <v>29</v>
      </c>
      <c r="G110" s="5" t="s">
        <v>236</v>
      </c>
      <c r="H110" s="12"/>
      <c r="I110" s="15"/>
      <c r="J110" s="8"/>
      <c r="K110" s="8"/>
    </row>
    <row r="111" spans="1:11" ht="62.1" hidden="1">
      <c r="A111" s="4">
        <v>11</v>
      </c>
      <c r="B111" s="6" t="s">
        <v>177</v>
      </c>
      <c r="C111" s="4" t="s">
        <v>251</v>
      </c>
      <c r="D111" s="5" t="s">
        <v>252</v>
      </c>
      <c r="E111" s="5" t="s">
        <v>61</v>
      </c>
      <c r="F111" s="4" t="s">
        <v>29</v>
      </c>
      <c r="G111" s="5" t="s">
        <v>236</v>
      </c>
      <c r="H111" s="12"/>
      <c r="I111" s="15"/>
      <c r="J111" s="8"/>
      <c r="K111" s="8"/>
    </row>
    <row r="112" spans="1:11" ht="77.45" hidden="1">
      <c r="A112" s="4">
        <v>11</v>
      </c>
      <c r="B112" s="6" t="s">
        <v>177</v>
      </c>
      <c r="C112" s="4" t="s">
        <v>253</v>
      </c>
      <c r="D112" s="5" t="s">
        <v>254</v>
      </c>
      <c r="E112" s="5" t="s">
        <v>61</v>
      </c>
      <c r="F112" s="4" t="s">
        <v>29</v>
      </c>
      <c r="G112" s="5" t="s">
        <v>255</v>
      </c>
      <c r="H112" s="12"/>
      <c r="I112" s="15"/>
      <c r="J112" s="8"/>
      <c r="K112" s="8"/>
    </row>
    <row r="113" spans="1:11" ht="201.6" hidden="1">
      <c r="A113" s="4">
        <v>11</v>
      </c>
      <c r="B113" s="6" t="s">
        <v>177</v>
      </c>
      <c r="C113" s="4" t="s">
        <v>263</v>
      </c>
      <c r="D113" s="5" t="s">
        <v>264</v>
      </c>
      <c r="E113" s="5" t="s">
        <v>61</v>
      </c>
      <c r="F113" s="4" t="s">
        <v>29</v>
      </c>
      <c r="G113" s="5" t="s">
        <v>265</v>
      </c>
      <c r="H113" s="12"/>
      <c r="I113" s="15"/>
      <c r="J113" s="8"/>
      <c r="K113" s="8"/>
    </row>
    <row r="114" spans="1:11" ht="155.1" hidden="1">
      <c r="A114" s="4">
        <v>11</v>
      </c>
      <c r="B114" s="4" t="s">
        <v>266</v>
      </c>
      <c r="C114" s="4" t="s">
        <v>267</v>
      </c>
      <c r="D114" s="5" t="s">
        <v>268</v>
      </c>
      <c r="E114" s="5" t="s">
        <v>39</v>
      </c>
      <c r="F114" s="4" t="s">
        <v>29</v>
      </c>
      <c r="G114" s="5" t="s">
        <v>269</v>
      </c>
      <c r="H114" s="12"/>
      <c r="I114" s="15"/>
      <c r="J114" s="8"/>
      <c r="K114" s="8"/>
    </row>
    <row r="115" spans="1:11" ht="309.95">
      <c r="A115" s="6">
        <v>11</v>
      </c>
      <c r="B115" s="6" t="s">
        <v>266</v>
      </c>
      <c r="C115" s="6" t="s">
        <v>272</v>
      </c>
      <c r="D115" s="15" t="s">
        <v>273</v>
      </c>
      <c r="E115" s="15" t="s">
        <v>39</v>
      </c>
      <c r="F115" s="6" t="s">
        <v>21</v>
      </c>
      <c r="G115" s="15" t="s">
        <v>274</v>
      </c>
      <c r="H115" s="12"/>
      <c r="I115" s="15"/>
      <c r="J115" s="8"/>
      <c r="K115" s="8"/>
    </row>
    <row r="116" spans="1:11" ht="155.1" hidden="1">
      <c r="A116" s="4">
        <v>11</v>
      </c>
      <c r="B116" s="4" t="s">
        <v>266</v>
      </c>
      <c r="C116" s="4" t="s">
        <v>270</v>
      </c>
      <c r="D116" s="5" t="s">
        <v>271</v>
      </c>
      <c r="E116" s="5" t="s">
        <v>39</v>
      </c>
      <c r="F116" s="4" t="s">
        <v>29</v>
      </c>
      <c r="G116" s="5" t="s">
        <v>269</v>
      </c>
      <c r="H116" s="12"/>
      <c r="I116" s="15"/>
      <c r="J116" s="8"/>
      <c r="K116" s="8"/>
    </row>
    <row r="117" spans="1:11" ht="77.45" hidden="1">
      <c r="A117" s="4">
        <v>12</v>
      </c>
      <c r="B117" s="4" t="s">
        <v>266</v>
      </c>
      <c r="C117" s="4" t="s">
        <v>311</v>
      </c>
      <c r="D117" s="5" t="s">
        <v>1123</v>
      </c>
      <c r="E117" s="5" t="s">
        <v>61</v>
      </c>
      <c r="F117" s="4" t="s">
        <v>29</v>
      </c>
      <c r="G117" s="5" t="s">
        <v>313</v>
      </c>
      <c r="H117" s="12"/>
      <c r="I117" s="15"/>
      <c r="J117" s="8"/>
      <c r="K117" s="8"/>
    </row>
    <row r="118" spans="1:11" ht="77.45" hidden="1">
      <c r="A118" s="4">
        <v>12</v>
      </c>
      <c r="B118" s="4" t="s">
        <v>266</v>
      </c>
      <c r="C118" s="4" t="s">
        <v>320</v>
      </c>
      <c r="D118" s="5" t="s">
        <v>1124</v>
      </c>
      <c r="E118" s="5" t="s">
        <v>61</v>
      </c>
      <c r="F118" s="4" t="s">
        <v>29</v>
      </c>
      <c r="G118" s="5" t="s">
        <v>56</v>
      </c>
      <c r="H118" s="12"/>
      <c r="I118" s="15"/>
      <c r="J118" s="8"/>
      <c r="K118" s="8"/>
    </row>
    <row r="119" spans="1:11" ht="123.95" hidden="1">
      <c r="A119" s="4">
        <v>13</v>
      </c>
      <c r="B119" s="4" t="s">
        <v>266</v>
      </c>
      <c r="C119" s="4" t="s">
        <v>189</v>
      </c>
      <c r="D119" s="5" t="s">
        <v>332</v>
      </c>
      <c r="E119" s="5" t="s">
        <v>39</v>
      </c>
      <c r="F119" s="4" t="s">
        <v>29</v>
      </c>
      <c r="G119" s="5" t="s">
        <v>333</v>
      </c>
      <c r="H119" s="12"/>
      <c r="I119" s="15"/>
      <c r="J119" s="8"/>
      <c r="K119" s="8"/>
    </row>
    <row r="120" spans="1:11" ht="93" hidden="1">
      <c r="A120" s="4">
        <v>13</v>
      </c>
      <c r="B120" s="4" t="s">
        <v>266</v>
      </c>
      <c r="C120" s="4" t="s">
        <v>334</v>
      </c>
      <c r="D120" s="5" t="s">
        <v>335</v>
      </c>
      <c r="E120" s="5" t="s">
        <v>39</v>
      </c>
      <c r="F120" s="4" t="s">
        <v>29</v>
      </c>
      <c r="G120" s="5" t="s">
        <v>336</v>
      </c>
      <c r="H120" s="12"/>
      <c r="I120" s="15"/>
      <c r="J120" s="8"/>
      <c r="K120" s="8"/>
    </row>
    <row r="121" spans="1:11" ht="155.1" hidden="1">
      <c r="A121" s="4">
        <v>13</v>
      </c>
      <c r="B121" s="4" t="s">
        <v>266</v>
      </c>
      <c r="C121" s="4" t="s">
        <v>337</v>
      </c>
      <c r="D121" s="5" t="s">
        <v>338</v>
      </c>
      <c r="E121" s="5" t="s">
        <v>39</v>
      </c>
      <c r="F121" s="4" t="s">
        <v>29</v>
      </c>
      <c r="G121" s="5" t="s">
        <v>339</v>
      </c>
      <c r="H121" s="12"/>
      <c r="I121" s="15"/>
      <c r="J121" s="8"/>
      <c r="K121" s="8"/>
    </row>
    <row r="122" spans="1:11" ht="93" hidden="1">
      <c r="A122" s="4">
        <v>13</v>
      </c>
      <c r="B122" s="4" t="s">
        <v>266</v>
      </c>
      <c r="C122" s="4" t="s">
        <v>340</v>
      </c>
      <c r="D122" s="5" t="s">
        <v>341</v>
      </c>
      <c r="E122" s="5" t="s">
        <v>39</v>
      </c>
      <c r="F122" s="4" t="s">
        <v>29</v>
      </c>
      <c r="G122" s="5" t="s">
        <v>342</v>
      </c>
      <c r="H122" s="12"/>
      <c r="I122" s="15"/>
      <c r="J122" s="8"/>
      <c r="K122" s="8"/>
    </row>
    <row r="123" spans="1:11" ht="139.5" hidden="1">
      <c r="A123" s="4">
        <v>13</v>
      </c>
      <c r="B123" s="4" t="s">
        <v>266</v>
      </c>
      <c r="C123" s="4" t="s">
        <v>343</v>
      </c>
      <c r="D123" s="5" t="s">
        <v>344</v>
      </c>
      <c r="E123" s="5" t="s">
        <v>39</v>
      </c>
      <c r="F123" s="4" t="s">
        <v>29</v>
      </c>
      <c r="G123" s="5" t="s">
        <v>345</v>
      </c>
      <c r="H123" s="12"/>
      <c r="I123" s="15"/>
      <c r="J123" s="8"/>
      <c r="K123" s="8"/>
    </row>
    <row r="124" spans="1:11" ht="93" hidden="1">
      <c r="A124" s="4">
        <v>14</v>
      </c>
      <c r="B124" s="4" t="s">
        <v>266</v>
      </c>
      <c r="C124" s="4" t="s">
        <v>392</v>
      </c>
      <c r="D124" s="5" t="s">
        <v>393</v>
      </c>
      <c r="E124" s="5" t="s">
        <v>61</v>
      </c>
      <c r="F124" s="4" t="s">
        <v>29</v>
      </c>
      <c r="G124" s="5" t="s">
        <v>56</v>
      </c>
      <c r="H124" s="12"/>
      <c r="I124" s="15"/>
      <c r="J124" s="8"/>
      <c r="K124" s="8"/>
    </row>
    <row r="125" spans="1:11" ht="93" hidden="1">
      <c r="A125" s="4">
        <v>14</v>
      </c>
      <c r="B125" s="4" t="s">
        <v>266</v>
      </c>
      <c r="C125" s="4" t="s">
        <v>394</v>
      </c>
      <c r="D125" s="5" t="s">
        <v>395</v>
      </c>
      <c r="E125" s="5" t="s">
        <v>61</v>
      </c>
      <c r="F125" s="4" t="s">
        <v>29</v>
      </c>
      <c r="G125" s="5" t="s">
        <v>56</v>
      </c>
      <c r="H125" s="12"/>
      <c r="I125" s="15"/>
      <c r="J125" s="8"/>
      <c r="K125" s="8"/>
    </row>
    <row r="126" spans="1:11" ht="93" hidden="1">
      <c r="A126" s="4">
        <v>14</v>
      </c>
      <c r="B126" s="4" t="s">
        <v>266</v>
      </c>
      <c r="C126" s="4" t="s">
        <v>396</v>
      </c>
      <c r="D126" s="5" t="s">
        <v>397</v>
      </c>
      <c r="E126" s="5" t="s">
        <v>61</v>
      </c>
      <c r="F126" s="4" t="s">
        <v>29</v>
      </c>
      <c r="G126" s="5" t="s">
        <v>56</v>
      </c>
      <c r="H126" s="12"/>
      <c r="I126" s="15"/>
      <c r="J126" s="8"/>
      <c r="K126" s="8"/>
    </row>
    <row r="127" spans="1:11" ht="108.6" hidden="1">
      <c r="A127" s="4">
        <v>14</v>
      </c>
      <c r="B127" s="4" t="s">
        <v>266</v>
      </c>
      <c r="C127" s="4" t="s">
        <v>398</v>
      </c>
      <c r="D127" s="5" t="s">
        <v>399</v>
      </c>
      <c r="E127" s="5" t="s">
        <v>61</v>
      </c>
      <c r="F127" s="4" t="s">
        <v>29</v>
      </c>
      <c r="G127" s="5" t="s">
        <v>56</v>
      </c>
      <c r="H127" s="12"/>
      <c r="I127" s="15"/>
      <c r="J127" s="8"/>
      <c r="K127" s="8"/>
    </row>
    <row r="128" spans="1:11" ht="62.1" hidden="1">
      <c r="A128" s="4">
        <v>14</v>
      </c>
      <c r="B128" s="4" t="s">
        <v>266</v>
      </c>
      <c r="C128" s="4" t="s">
        <v>403</v>
      </c>
      <c r="D128" s="5" t="s">
        <v>404</v>
      </c>
      <c r="E128" s="5" t="s">
        <v>61</v>
      </c>
      <c r="F128" s="4" t="s">
        <v>29</v>
      </c>
      <c r="G128" s="5" t="s">
        <v>56</v>
      </c>
      <c r="H128" s="12"/>
      <c r="I128" s="15"/>
      <c r="J128" s="8"/>
      <c r="K128" s="8"/>
    </row>
    <row r="129" spans="1:11" ht="123.95" hidden="1">
      <c r="A129" s="4">
        <v>15</v>
      </c>
      <c r="B129" s="4" t="s">
        <v>266</v>
      </c>
      <c r="C129" s="4" t="s">
        <v>405</v>
      </c>
      <c r="D129" s="5" t="s">
        <v>406</v>
      </c>
      <c r="E129" s="5" t="s">
        <v>61</v>
      </c>
      <c r="F129" s="4" t="s">
        <v>29</v>
      </c>
      <c r="G129" s="5" t="s">
        <v>56</v>
      </c>
      <c r="H129" s="12"/>
      <c r="I129" s="15"/>
      <c r="J129" s="8"/>
      <c r="K129" s="8"/>
    </row>
    <row r="130" spans="1:11" ht="77.45" hidden="1">
      <c r="A130" s="4">
        <v>15</v>
      </c>
      <c r="B130" s="4" t="s">
        <v>266</v>
      </c>
      <c r="C130" s="4" t="s">
        <v>407</v>
      </c>
      <c r="D130" s="5" t="s">
        <v>408</v>
      </c>
      <c r="E130" s="5" t="s">
        <v>61</v>
      </c>
      <c r="F130" s="4" t="s">
        <v>29</v>
      </c>
      <c r="G130" s="5" t="s">
        <v>56</v>
      </c>
      <c r="H130" s="12"/>
      <c r="I130" s="15"/>
      <c r="J130" s="8"/>
      <c r="K130" s="8"/>
    </row>
    <row r="131" spans="1:11" ht="77.45" hidden="1">
      <c r="A131" s="4">
        <v>15</v>
      </c>
      <c r="B131" s="4" t="s">
        <v>266</v>
      </c>
      <c r="C131" s="4" t="s">
        <v>409</v>
      </c>
      <c r="D131" s="5" t="s">
        <v>410</v>
      </c>
      <c r="E131" s="5" t="s">
        <v>61</v>
      </c>
      <c r="F131" s="4" t="s">
        <v>29</v>
      </c>
      <c r="G131" s="5" t="s">
        <v>56</v>
      </c>
      <c r="H131" s="12"/>
      <c r="I131" s="15"/>
      <c r="J131" s="8"/>
      <c r="K131" s="8"/>
    </row>
    <row r="132" spans="1:11" ht="62.1" hidden="1">
      <c r="A132" s="4">
        <v>15</v>
      </c>
      <c r="B132" s="4" t="s">
        <v>266</v>
      </c>
      <c r="C132" s="4" t="s">
        <v>411</v>
      </c>
      <c r="D132" s="5" t="s">
        <v>412</v>
      </c>
      <c r="E132" s="5" t="s">
        <v>61</v>
      </c>
      <c r="F132" s="4" t="s">
        <v>29</v>
      </c>
      <c r="G132" s="5" t="s">
        <v>56</v>
      </c>
      <c r="H132" s="12"/>
      <c r="I132" s="15"/>
      <c r="J132" s="8"/>
      <c r="K132" s="8"/>
    </row>
    <row r="133" spans="1:11" ht="77.45" hidden="1">
      <c r="A133" s="4">
        <v>15</v>
      </c>
      <c r="B133" s="4" t="s">
        <v>266</v>
      </c>
      <c r="C133" s="4" t="s">
        <v>413</v>
      </c>
      <c r="D133" s="5" t="s">
        <v>414</v>
      </c>
      <c r="E133" s="5" t="s">
        <v>61</v>
      </c>
      <c r="F133" s="4" t="s">
        <v>29</v>
      </c>
      <c r="G133" s="5" t="s">
        <v>56</v>
      </c>
      <c r="H133" s="12"/>
      <c r="I133" s="15"/>
      <c r="J133" s="8"/>
      <c r="K133" s="8"/>
    </row>
    <row r="134" spans="1:11" ht="108.6" hidden="1">
      <c r="A134" s="4">
        <v>15</v>
      </c>
      <c r="B134" s="4" t="s">
        <v>266</v>
      </c>
      <c r="C134" s="4" t="s">
        <v>421</v>
      </c>
      <c r="D134" s="5" t="s">
        <v>422</v>
      </c>
      <c r="E134" s="5" t="s">
        <v>61</v>
      </c>
      <c r="F134" s="4" t="s">
        <v>29</v>
      </c>
      <c r="G134" s="5" t="s">
        <v>56</v>
      </c>
      <c r="H134" s="12"/>
      <c r="I134" s="15"/>
      <c r="J134" s="8"/>
      <c r="K134" s="8"/>
    </row>
    <row r="135" spans="1:11" ht="186" hidden="1">
      <c r="A135" s="4">
        <v>16</v>
      </c>
      <c r="B135" s="4" t="s">
        <v>266</v>
      </c>
      <c r="C135" s="4" t="s">
        <v>442</v>
      </c>
      <c r="D135" s="5" t="s">
        <v>443</v>
      </c>
      <c r="E135" s="5" t="s">
        <v>39</v>
      </c>
      <c r="F135" s="4" t="s">
        <v>29</v>
      </c>
      <c r="G135" s="5" t="s">
        <v>444</v>
      </c>
      <c r="H135" s="12"/>
      <c r="I135" s="15"/>
      <c r="J135" s="8"/>
      <c r="K135" s="8"/>
    </row>
    <row r="136" spans="1:11" ht="93" hidden="1">
      <c r="A136" s="4">
        <v>16</v>
      </c>
      <c r="B136" s="4" t="s">
        <v>266</v>
      </c>
      <c r="C136" s="4" t="s">
        <v>445</v>
      </c>
      <c r="D136" s="5" t="s">
        <v>446</v>
      </c>
      <c r="E136" s="5" t="s">
        <v>61</v>
      </c>
      <c r="F136" s="4" t="s">
        <v>29</v>
      </c>
      <c r="G136" s="5" t="s">
        <v>447</v>
      </c>
      <c r="H136" s="12"/>
      <c r="I136" s="15"/>
      <c r="J136" s="8"/>
      <c r="K136" s="8"/>
    </row>
    <row r="137" spans="1:11" ht="123.95" hidden="1">
      <c r="A137" s="4">
        <v>16</v>
      </c>
      <c r="B137" s="4" t="s">
        <v>266</v>
      </c>
      <c r="C137" s="4" t="s">
        <v>448</v>
      </c>
      <c r="D137" s="5" t="s">
        <v>449</v>
      </c>
      <c r="E137" s="5" t="s">
        <v>61</v>
      </c>
      <c r="F137" s="4" t="s">
        <v>29</v>
      </c>
      <c r="G137" s="5"/>
      <c r="H137" s="12"/>
      <c r="I137" s="15"/>
      <c r="J137" s="8"/>
      <c r="K137" s="8"/>
    </row>
    <row r="138" spans="1:11" ht="93" hidden="1">
      <c r="A138" s="4">
        <v>16</v>
      </c>
      <c r="B138" s="4" t="s">
        <v>266</v>
      </c>
      <c r="C138" s="4" t="s">
        <v>450</v>
      </c>
      <c r="D138" s="5" t="s">
        <v>451</v>
      </c>
      <c r="E138" s="5" t="s">
        <v>39</v>
      </c>
      <c r="F138" s="4" t="s">
        <v>29</v>
      </c>
      <c r="G138" s="5" t="s">
        <v>452</v>
      </c>
      <c r="H138" s="12"/>
      <c r="I138" s="15"/>
      <c r="J138" s="8"/>
      <c r="K138" s="8"/>
    </row>
    <row r="139" spans="1:11" ht="77.45" hidden="1">
      <c r="A139" s="4">
        <v>16</v>
      </c>
      <c r="B139" s="4" t="s">
        <v>454</v>
      </c>
      <c r="C139" s="4" t="s">
        <v>455</v>
      </c>
      <c r="D139" s="5" t="s">
        <v>456</v>
      </c>
      <c r="E139" s="5" t="s">
        <v>39</v>
      </c>
      <c r="F139" s="4" t="s">
        <v>29</v>
      </c>
      <c r="G139" s="5" t="s">
        <v>444</v>
      </c>
      <c r="H139" s="12"/>
      <c r="I139" s="15"/>
      <c r="J139" s="8"/>
      <c r="K139" s="8"/>
    </row>
    <row r="140" spans="1:11" ht="123.95" hidden="1">
      <c r="A140" s="4">
        <v>16</v>
      </c>
      <c r="B140" s="4" t="s">
        <v>454</v>
      </c>
      <c r="C140" s="4" t="s">
        <v>457</v>
      </c>
      <c r="D140" s="5" t="s">
        <v>458</v>
      </c>
      <c r="E140" s="5" t="s">
        <v>39</v>
      </c>
      <c r="F140" s="4" t="s">
        <v>29</v>
      </c>
      <c r="G140" s="5" t="s">
        <v>444</v>
      </c>
      <c r="H140" s="12"/>
      <c r="I140" s="15"/>
      <c r="J140" s="8"/>
      <c r="K140" s="8"/>
    </row>
    <row r="141" spans="1:11" ht="155.1" hidden="1">
      <c r="A141" s="4">
        <v>16</v>
      </c>
      <c r="B141" s="4" t="s">
        <v>454</v>
      </c>
      <c r="C141" s="4" t="s">
        <v>459</v>
      </c>
      <c r="D141" s="5" t="s">
        <v>460</v>
      </c>
      <c r="E141" s="5" t="s">
        <v>39</v>
      </c>
      <c r="F141" s="4" t="s">
        <v>29</v>
      </c>
      <c r="G141" s="5" t="s">
        <v>444</v>
      </c>
      <c r="H141" s="12"/>
      <c r="I141" s="15"/>
      <c r="J141" s="8"/>
      <c r="K141" s="8"/>
    </row>
    <row r="142" spans="1:11" ht="77.45" hidden="1">
      <c r="A142" s="4">
        <v>16</v>
      </c>
      <c r="B142" s="4" t="s">
        <v>454</v>
      </c>
      <c r="C142" s="4" t="s">
        <v>461</v>
      </c>
      <c r="D142" s="5" t="s">
        <v>462</v>
      </c>
      <c r="E142" s="5" t="s">
        <v>39</v>
      </c>
      <c r="F142" s="4" t="s">
        <v>29</v>
      </c>
      <c r="G142" s="5" t="s">
        <v>444</v>
      </c>
      <c r="H142" s="12"/>
      <c r="I142" s="15"/>
      <c r="J142" s="8"/>
      <c r="K142" s="8"/>
    </row>
    <row r="143" spans="1:11" ht="77.45" hidden="1">
      <c r="A143" s="4">
        <v>16</v>
      </c>
      <c r="B143" s="4" t="s">
        <v>454</v>
      </c>
      <c r="C143" s="4" t="s">
        <v>463</v>
      </c>
      <c r="D143" s="5" t="s">
        <v>464</v>
      </c>
      <c r="E143" s="5" t="s">
        <v>39</v>
      </c>
      <c r="F143" s="4" t="s">
        <v>29</v>
      </c>
      <c r="G143" s="5" t="s">
        <v>465</v>
      </c>
      <c r="H143" s="12"/>
      <c r="I143" s="15"/>
      <c r="J143" s="8"/>
      <c r="K143" s="8"/>
    </row>
    <row r="144" spans="1:11" ht="77.45" hidden="1">
      <c r="A144" s="4">
        <v>16</v>
      </c>
      <c r="B144" s="4" t="s">
        <v>454</v>
      </c>
      <c r="C144" s="4" t="s">
        <v>466</v>
      </c>
      <c r="D144" s="5" t="s">
        <v>467</v>
      </c>
      <c r="E144" s="5" t="s">
        <v>39</v>
      </c>
      <c r="F144" s="4" t="s">
        <v>29</v>
      </c>
      <c r="G144" s="5" t="s">
        <v>468</v>
      </c>
      <c r="H144" s="12"/>
      <c r="I144" s="15"/>
      <c r="J144" s="8"/>
      <c r="K144" s="8"/>
    </row>
    <row r="145" spans="1:11" ht="77.45" hidden="1">
      <c r="A145" s="4">
        <v>16</v>
      </c>
      <c r="B145" s="4" t="s">
        <v>454</v>
      </c>
      <c r="C145" s="4" t="s">
        <v>470</v>
      </c>
      <c r="D145" s="5" t="s">
        <v>471</v>
      </c>
      <c r="E145" s="5" t="s">
        <v>39</v>
      </c>
      <c r="F145" s="4" t="s">
        <v>29</v>
      </c>
      <c r="G145" s="5" t="s">
        <v>472</v>
      </c>
      <c r="H145" s="12"/>
      <c r="I145" s="15"/>
      <c r="J145" s="8"/>
      <c r="K145" s="8"/>
    </row>
    <row r="146" spans="1:11" ht="108.6" hidden="1">
      <c r="A146" s="4">
        <v>16</v>
      </c>
      <c r="B146" s="4" t="s">
        <v>454</v>
      </c>
      <c r="C146" s="4" t="s">
        <v>473</v>
      </c>
      <c r="D146" s="5" t="s">
        <v>474</v>
      </c>
      <c r="E146" s="5" t="s">
        <v>39</v>
      </c>
      <c r="F146" s="4" t="s">
        <v>29</v>
      </c>
      <c r="G146" s="5" t="s">
        <v>444</v>
      </c>
      <c r="H146" s="12"/>
      <c r="I146" s="15"/>
      <c r="J146" s="8"/>
      <c r="K146" s="8"/>
    </row>
    <row r="147" spans="1:11" ht="77.45" hidden="1">
      <c r="A147" s="4">
        <v>16</v>
      </c>
      <c r="B147" s="4" t="s">
        <v>454</v>
      </c>
      <c r="C147" s="4" t="s">
        <v>475</v>
      </c>
      <c r="D147" s="5" t="s">
        <v>476</v>
      </c>
      <c r="E147" s="5" t="s">
        <v>39</v>
      </c>
      <c r="F147" s="4" t="s">
        <v>29</v>
      </c>
      <c r="G147" s="5" t="s">
        <v>444</v>
      </c>
      <c r="H147" s="12"/>
      <c r="I147" s="15"/>
      <c r="J147" s="8"/>
      <c r="K147" s="8"/>
    </row>
    <row r="148" spans="1:11" ht="108.6" hidden="1">
      <c r="A148" s="4">
        <v>17</v>
      </c>
      <c r="B148" s="4" t="s">
        <v>454</v>
      </c>
      <c r="C148" s="4" t="s">
        <v>477</v>
      </c>
      <c r="D148" s="5" t="s">
        <v>478</v>
      </c>
      <c r="E148" s="5" t="s">
        <v>39</v>
      </c>
      <c r="F148" s="4" t="s">
        <v>29</v>
      </c>
      <c r="G148" s="5" t="s">
        <v>479</v>
      </c>
      <c r="H148" s="12"/>
      <c r="I148" s="15"/>
      <c r="J148" s="8"/>
      <c r="K148" s="8"/>
    </row>
    <row r="149" spans="1:11" ht="93" hidden="1">
      <c r="A149" s="4">
        <v>17</v>
      </c>
      <c r="B149" s="4" t="s">
        <v>454</v>
      </c>
      <c r="C149" s="4" t="s">
        <v>480</v>
      </c>
      <c r="D149" s="5" t="s">
        <v>481</v>
      </c>
      <c r="E149" s="5" t="s">
        <v>39</v>
      </c>
      <c r="F149" s="4" t="s">
        <v>29</v>
      </c>
      <c r="G149" s="5" t="s">
        <v>444</v>
      </c>
      <c r="H149" s="12"/>
      <c r="I149" s="15"/>
      <c r="J149" s="8"/>
      <c r="K149" s="8"/>
    </row>
    <row r="150" spans="1:11" ht="93" hidden="1">
      <c r="A150" s="4">
        <v>17</v>
      </c>
      <c r="B150" s="4" t="s">
        <v>454</v>
      </c>
      <c r="C150" s="4" t="s">
        <v>482</v>
      </c>
      <c r="D150" s="5" t="s">
        <v>483</v>
      </c>
      <c r="E150" s="5" t="s">
        <v>39</v>
      </c>
      <c r="F150" s="4" t="s">
        <v>29</v>
      </c>
      <c r="G150" s="5" t="s">
        <v>484</v>
      </c>
      <c r="H150" s="12"/>
      <c r="I150" s="15"/>
      <c r="J150" s="8"/>
      <c r="K150" s="8"/>
    </row>
    <row r="151" spans="1:11" ht="108.6" hidden="1">
      <c r="A151" s="4">
        <v>17</v>
      </c>
      <c r="B151" s="4" t="s">
        <v>454</v>
      </c>
      <c r="C151" s="4" t="s">
        <v>485</v>
      </c>
      <c r="D151" s="5" t="s">
        <v>486</v>
      </c>
      <c r="E151" s="5" t="s">
        <v>39</v>
      </c>
      <c r="F151" s="4" t="s">
        <v>29</v>
      </c>
      <c r="G151" s="5" t="s">
        <v>487</v>
      </c>
      <c r="H151" s="12"/>
      <c r="I151" s="15"/>
      <c r="J151" s="8"/>
      <c r="K151" s="8"/>
    </row>
    <row r="152" spans="1:11" ht="123.95" hidden="1">
      <c r="A152" s="4">
        <v>17</v>
      </c>
      <c r="B152" s="6" t="s">
        <v>488</v>
      </c>
      <c r="C152" s="4" t="s">
        <v>178</v>
      </c>
      <c r="D152" s="5" t="s">
        <v>489</v>
      </c>
      <c r="E152" s="5" t="s">
        <v>39</v>
      </c>
      <c r="F152" s="6" t="s">
        <v>29</v>
      </c>
      <c r="G152" s="5" t="s">
        <v>490</v>
      </c>
      <c r="H152" s="12"/>
      <c r="I152" s="15"/>
      <c r="J152" s="8"/>
      <c r="K152" s="8"/>
    </row>
    <row r="153" spans="1:11" ht="186" hidden="1">
      <c r="A153" s="4">
        <v>17</v>
      </c>
      <c r="B153" s="6" t="s">
        <v>488</v>
      </c>
      <c r="C153" s="4" t="s">
        <v>189</v>
      </c>
      <c r="D153" s="5" t="s">
        <v>491</v>
      </c>
      <c r="E153" s="5" t="s">
        <v>61</v>
      </c>
      <c r="F153" s="4" t="s">
        <v>29</v>
      </c>
      <c r="G153" s="5" t="s">
        <v>56</v>
      </c>
      <c r="H153" s="12"/>
      <c r="I153" s="15"/>
      <c r="J153" s="8"/>
      <c r="K153" s="8"/>
    </row>
    <row r="154" spans="1:11" ht="93" hidden="1">
      <c r="A154" s="4">
        <v>17</v>
      </c>
      <c r="B154" s="6" t="s">
        <v>488</v>
      </c>
      <c r="C154" s="4" t="s">
        <v>492</v>
      </c>
      <c r="D154" s="5" t="s">
        <v>493</v>
      </c>
      <c r="E154" s="5" t="s">
        <v>61</v>
      </c>
      <c r="F154" s="4" t="s">
        <v>29</v>
      </c>
      <c r="G154" s="5" t="s">
        <v>494</v>
      </c>
      <c r="H154" s="12"/>
      <c r="I154" s="15"/>
      <c r="J154" s="8"/>
      <c r="K154" s="8"/>
    </row>
    <row r="155" spans="1:11" ht="108.6" hidden="1">
      <c r="A155" s="4">
        <v>17</v>
      </c>
      <c r="B155" s="6" t="s">
        <v>488</v>
      </c>
      <c r="C155" s="4" t="s">
        <v>509</v>
      </c>
      <c r="D155" s="5" t="s">
        <v>510</v>
      </c>
      <c r="E155" s="5" t="s">
        <v>39</v>
      </c>
      <c r="F155" s="6" t="s">
        <v>29</v>
      </c>
      <c r="G155" s="5" t="s">
        <v>511</v>
      </c>
      <c r="H155" s="12"/>
      <c r="I155" s="15"/>
      <c r="J155" s="8"/>
      <c r="K155" s="8"/>
    </row>
    <row r="156" spans="1:11" ht="108.6" hidden="1">
      <c r="A156" s="4">
        <v>17</v>
      </c>
      <c r="B156" s="6" t="s">
        <v>488</v>
      </c>
      <c r="C156" s="4" t="s">
        <v>512</v>
      </c>
      <c r="D156" s="5" t="s">
        <v>513</v>
      </c>
      <c r="E156" s="5" t="s">
        <v>39</v>
      </c>
      <c r="F156" s="6" t="s">
        <v>29</v>
      </c>
      <c r="G156" s="5" t="s">
        <v>511</v>
      </c>
      <c r="H156" s="12"/>
      <c r="I156" s="15"/>
      <c r="J156" s="8"/>
      <c r="K156" s="8"/>
    </row>
    <row r="157" spans="1:11" ht="108.6" hidden="1">
      <c r="A157" s="4">
        <v>18</v>
      </c>
      <c r="B157" s="6" t="s">
        <v>488</v>
      </c>
      <c r="C157" s="4" t="s">
        <v>514</v>
      </c>
      <c r="D157" s="5" t="s">
        <v>515</v>
      </c>
      <c r="E157" s="5" t="s">
        <v>39</v>
      </c>
      <c r="F157" s="6" t="s">
        <v>29</v>
      </c>
      <c r="G157" s="5" t="s">
        <v>511</v>
      </c>
      <c r="H157" s="12"/>
      <c r="I157" s="15"/>
      <c r="J157" s="8"/>
      <c r="K157" s="8"/>
    </row>
    <row r="158" spans="1:11" ht="108.6" hidden="1">
      <c r="A158" s="4">
        <v>18</v>
      </c>
      <c r="B158" s="6" t="s">
        <v>488</v>
      </c>
      <c r="C158" s="4" t="s">
        <v>516</v>
      </c>
      <c r="D158" s="5" t="s">
        <v>517</v>
      </c>
      <c r="E158" s="5" t="s">
        <v>39</v>
      </c>
      <c r="F158" s="6" t="s">
        <v>29</v>
      </c>
      <c r="G158" s="5" t="s">
        <v>511</v>
      </c>
      <c r="H158" s="12"/>
      <c r="I158" s="15"/>
      <c r="J158" s="8"/>
      <c r="K158" s="8"/>
    </row>
    <row r="159" spans="1:11" ht="123.95" hidden="1">
      <c r="A159" s="4">
        <v>18</v>
      </c>
      <c r="B159" s="6" t="s">
        <v>488</v>
      </c>
      <c r="C159" s="4" t="s">
        <v>518</v>
      </c>
      <c r="D159" s="5" t="s">
        <v>519</v>
      </c>
      <c r="E159" s="5" t="s">
        <v>39</v>
      </c>
      <c r="F159" s="6" t="s">
        <v>29</v>
      </c>
      <c r="G159" s="5" t="s">
        <v>511</v>
      </c>
      <c r="H159" s="12"/>
      <c r="I159" s="15"/>
      <c r="J159" s="8"/>
      <c r="K159" s="8"/>
    </row>
    <row r="160" spans="1:11" ht="186" hidden="1">
      <c r="A160" s="4">
        <v>18</v>
      </c>
      <c r="B160" s="6" t="s">
        <v>488</v>
      </c>
      <c r="C160" s="4" t="s">
        <v>520</v>
      </c>
      <c r="D160" s="5" t="s">
        <v>521</v>
      </c>
      <c r="E160" s="5" t="s">
        <v>39</v>
      </c>
      <c r="F160" s="6" t="s">
        <v>29</v>
      </c>
      <c r="G160" s="5" t="s">
        <v>511</v>
      </c>
      <c r="H160" s="12"/>
      <c r="I160" s="15"/>
      <c r="J160" s="8"/>
      <c r="K160" s="8"/>
    </row>
    <row r="161" spans="1:11" ht="108.6" hidden="1">
      <c r="A161" s="4">
        <v>18</v>
      </c>
      <c r="B161" s="6" t="s">
        <v>488</v>
      </c>
      <c r="C161" s="4" t="s">
        <v>522</v>
      </c>
      <c r="D161" s="5" t="s">
        <v>523</v>
      </c>
      <c r="E161" s="5" t="s">
        <v>39</v>
      </c>
      <c r="F161" s="6" t="s">
        <v>29</v>
      </c>
      <c r="G161" s="5" t="s">
        <v>511</v>
      </c>
      <c r="H161" s="12"/>
      <c r="I161" s="15"/>
      <c r="J161" s="8"/>
      <c r="K161" s="8"/>
    </row>
    <row r="162" spans="1:11" ht="139.5" hidden="1">
      <c r="A162" s="4">
        <v>18</v>
      </c>
      <c r="B162" s="6" t="s">
        <v>488</v>
      </c>
      <c r="C162" s="4" t="s">
        <v>354</v>
      </c>
      <c r="D162" s="5" t="s">
        <v>524</v>
      </c>
      <c r="E162" s="5" t="s">
        <v>39</v>
      </c>
      <c r="F162" s="6" t="s">
        <v>29</v>
      </c>
      <c r="G162" s="5" t="s">
        <v>525</v>
      </c>
      <c r="H162" s="12"/>
      <c r="I162" s="15"/>
      <c r="J162" s="8"/>
      <c r="K162" s="8"/>
    </row>
    <row r="163" spans="1:11" ht="139.5" hidden="1">
      <c r="A163" s="4">
        <v>18</v>
      </c>
      <c r="B163" s="6" t="s">
        <v>488</v>
      </c>
      <c r="C163" s="4" t="s">
        <v>526</v>
      </c>
      <c r="D163" s="5" t="s">
        <v>527</v>
      </c>
      <c r="E163" s="5" t="s">
        <v>39</v>
      </c>
      <c r="F163" s="6" t="s">
        <v>29</v>
      </c>
      <c r="G163" s="5" t="s">
        <v>525</v>
      </c>
      <c r="H163" s="12"/>
      <c r="I163" s="15"/>
      <c r="J163" s="8"/>
      <c r="K163" s="8"/>
    </row>
    <row r="164" spans="1:11" ht="139.5" hidden="1">
      <c r="A164" s="4">
        <v>18</v>
      </c>
      <c r="B164" s="6" t="s">
        <v>488</v>
      </c>
      <c r="C164" s="4" t="s">
        <v>528</v>
      </c>
      <c r="D164" s="5" t="s">
        <v>529</v>
      </c>
      <c r="E164" s="5" t="s">
        <v>39</v>
      </c>
      <c r="F164" s="6" t="s">
        <v>29</v>
      </c>
      <c r="G164" s="5" t="s">
        <v>525</v>
      </c>
      <c r="H164" s="12"/>
      <c r="I164" s="15"/>
      <c r="J164" s="8"/>
      <c r="K164" s="8"/>
    </row>
    <row r="165" spans="1:11" ht="139.5" hidden="1">
      <c r="A165" s="4">
        <v>18</v>
      </c>
      <c r="B165" s="6" t="s">
        <v>488</v>
      </c>
      <c r="C165" s="4" t="s">
        <v>530</v>
      </c>
      <c r="D165" s="5" t="s">
        <v>531</v>
      </c>
      <c r="E165" s="5" t="s">
        <v>39</v>
      </c>
      <c r="F165" s="6" t="s">
        <v>29</v>
      </c>
      <c r="G165" s="5" t="s">
        <v>525</v>
      </c>
      <c r="H165" s="12"/>
      <c r="I165" s="15"/>
      <c r="J165" s="8"/>
      <c r="K165" s="8"/>
    </row>
    <row r="166" spans="1:11" ht="139.5" hidden="1">
      <c r="A166" s="4">
        <v>18</v>
      </c>
      <c r="B166" s="6" t="s">
        <v>488</v>
      </c>
      <c r="C166" s="4" t="s">
        <v>532</v>
      </c>
      <c r="D166" s="5" t="s">
        <v>533</v>
      </c>
      <c r="E166" s="5" t="s">
        <v>39</v>
      </c>
      <c r="F166" s="6" t="s">
        <v>29</v>
      </c>
      <c r="G166" s="5" t="s">
        <v>525</v>
      </c>
      <c r="H166" s="12"/>
      <c r="I166" s="15"/>
      <c r="J166" s="8"/>
      <c r="K166" s="8"/>
    </row>
    <row r="167" spans="1:11" ht="139.5" hidden="1">
      <c r="A167" s="4">
        <v>18</v>
      </c>
      <c r="B167" s="6" t="s">
        <v>488</v>
      </c>
      <c r="C167" s="4" t="s">
        <v>534</v>
      </c>
      <c r="D167" s="5" t="s">
        <v>535</v>
      </c>
      <c r="E167" s="5" t="s">
        <v>39</v>
      </c>
      <c r="F167" s="6" t="s">
        <v>29</v>
      </c>
      <c r="G167" s="5" t="s">
        <v>525</v>
      </c>
      <c r="H167" s="12"/>
      <c r="I167" s="15"/>
      <c r="J167" s="8"/>
      <c r="K167" s="8"/>
    </row>
    <row r="168" spans="1:11" ht="139.5" hidden="1">
      <c r="A168" s="4">
        <v>18</v>
      </c>
      <c r="B168" s="6" t="s">
        <v>488</v>
      </c>
      <c r="C168" s="4" t="s">
        <v>356</v>
      </c>
      <c r="D168" s="5" t="s">
        <v>536</v>
      </c>
      <c r="E168" s="5" t="s">
        <v>39</v>
      </c>
      <c r="F168" s="6" t="s">
        <v>29</v>
      </c>
      <c r="G168" s="5" t="s">
        <v>525</v>
      </c>
      <c r="H168" s="12"/>
      <c r="I168" s="15"/>
      <c r="J168" s="8"/>
      <c r="K168" s="8"/>
    </row>
    <row r="169" spans="1:11" ht="139.5" hidden="1">
      <c r="A169" s="4">
        <v>18</v>
      </c>
      <c r="B169" s="6" t="s">
        <v>488</v>
      </c>
      <c r="C169" s="4" t="s">
        <v>537</v>
      </c>
      <c r="D169" s="5" t="s">
        <v>527</v>
      </c>
      <c r="E169" s="5" t="s">
        <v>39</v>
      </c>
      <c r="F169" s="6" t="s">
        <v>29</v>
      </c>
      <c r="G169" s="5" t="s">
        <v>525</v>
      </c>
      <c r="H169" s="12"/>
      <c r="I169" s="15"/>
      <c r="J169" s="8"/>
      <c r="K169" s="8"/>
    </row>
    <row r="170" spans="1:11" ht="139.5" hidden="1">
      <c r="A170" s="4">
        <v>18</v>
      </c>
      <c r="B170" s="6" t="s">
        <v>488</v>
      </c>
      <c r="C170" s="4" t="s">
        <v>538</v>
      </c>
      <c r="D170" s="5" t="s">
        <v>529</v>
      </c>
      <c r="E170" s="5" t="s">
        <v>39</v>
      </c>
      <c r="F170" s="6" t="s">
        <v>29</v>
      </c>
      <c r="G170" s="5" t="s">
        <v>525</v>
      </c>
      <c r="H170" s="12"/>
      <c r="I170" s="15"/>
      <c r="J170" s="8"/>
      <c r="K170" s="8"/>
    </row>
    <row r="171" spans="1:11" ht="139.5" hidden="1">
      <c r="A171" s="4">
        <v>18</v>
      </c>
      <c r="B171" s="6" t="s">
        <v>488</v>
      </c>
      <c r="C171" s="4" t="s">
        <v>539</v>
      </c>
      <c r="D171" s="5" t="s">
        <v>540</v>
      </c>
      <c r="E171" s="5" t="s">
        <v>39</v>
      </c>
      <c r="F171" s="6" t="s">
        <v>29</v>
      </c>
      <c r="G171" s="5" t="s">
        <v>525</v>
      </c>
      <c r="H171" s="12"/>
      <c r="I171" s="15"/>
      <c r="J171" s="8"/>
      <c r="K171" s="8"/>
    </row>
    <row r="172" spans="1:11" ht="139.5" hidden="1">
      <c r="A172" s="4">
        <v>18</v>
      </c>
      <c r="B172" s="6" t="s">
        <v>488</v>
      </c>
      <c r="C172" s="4" t="s">
        <v>541</v>
      </c>
      <c r="D172" s="5" t="s">
        <v>533</v>
      </c>
      <c r="E172" s="5" t="s">
        <v>39</v>
      </c>
      <c r="F172" s="6" t="s">
        <v>29</v>
      </c>
      <c r="G172" s="5" t="s">
        <v>525</v>
      </c>
      <c r="H172" s="12"/>
      <c r="I172" s="15"/>
      <c r="J172" s="8"/>
      <c r="K172" s="8"/>
    </row>
    <row r="173" spans="1:11" ht="139.5" hidden="1">
      <c r="A173" s="4">
        <v>18</v>
      </c>
      <c r="B173" s="6" t="s">
        <v>488</v>
      </c>
      <c r="C173" s="4" t="s">
        <v>542</v>
      </c>
      <c r="D173" s="5" t="s">
        <v>535</v>
      </c>
      <c r="E173" s="5" t="s">
        <v>39</v>
      </c>
      <c r="F173" s="6" t="s">
        <v>29</v>
      </c>
      <c r="G173" s="5" t="s">
        <v>525</v>
      </c>
      <c r="H173" s="12"/>
      <c r="I173" s="15"/>
      <c r="J173" s="8"/>
      <c r="K173" s="8"/>
    </row>
    <row r="174" spans="1:11" ht="139.5" hidden="1">
      <c r="A174" s="4">
        <v>18</v>
      </c>
      <c r="B174" s="6" t="s">
        <v>488</v>
      </c>
      <c r="C174" s="4" t="s">
        <v>358</v>
      </c>
      <c r="D174" s="5" t="s">
        <v>543</v>
      </c>
      <c r="E174" s="5" t="s">
        <v>39</v>
      </c>
      <c r="F174" s="6" t="s">
        <v>29</v>
      </c>
      <c r="G174" s="5" t="s">
        <v>525</v>
      </c>
      <c r="H174" s="12"/>
      <c r="I174" s="15"/>
      <c r="J174" s="8"/>
      <c r="K174" s="8"/>
    </row>
    <row r="175" spans="1:11" ht="139.5" hidden="1">
      <c r="A175" s="4">
        <v>18</v>
      </c>
      <c r="B175" s="6" t="s">
        <v>488</v>
      </c>
      <c r="C175" s="4" t="s">
        <v>544</v>
      </c>
      <c r="D175" s="5" t="s">
        <v>545</v>
      </c>
      <c r="E175" s="5" t="s">
        <v>39</v>
      </c>
      <c r="F175" s="6" t="s">
        <v>29</v>
      </c>
      <c r="G175" s="5" t="s">
        <v>525</v>
      </c>
      <c r="H175" s="12"/>
      <c r="I175" s="15"/>
      <c r="J175" s="8"/>
      <c r="K175" s="8"/>
    </row>
    <row r="176" spans="1:11" ht="139.5" hidden="1">
      <c r="A176" s="4">
        <v>18</v>
      </c>
      <c r="B176" s="6" t="s">
        <v>488</v>
      </c>
      <c r="C176" s="4" t="s">
        <v>546</v>
      </c>
      <c r="D176" s="5" t="s">
        <v>547</v>
      </c>
      <c r="E176" s="5" t="s">
        <v>39</v>
      </c>
      <c r="F176" s="6" t="s">
        <v>29</v>
      </c>
      <c r="G176" s="5" t="s">
        <v>525</v>
      </c>
      <c r="H176" s="12"/>
      <c r="I176" s="15"/>
      <c r="J176" s="8"/>
      <c r="K176" s="8"/>
    </row>
    <row r="177" spans="1:11" ht="139.5" hidden="1">
      <c r="A177" s="4">
        <v>18</v>
      </c>
      <c r="B177" s="6" t="s">
        <v>488</v>
      </c>
      <c r="C177" s="4" t="s">
        <v>546</v>
      </c>
      <c r="D177" s="5" t="s">
        <v>548</v>
      </c>
      <c r="E177" s="5" t="s">
        <v>39</v>
      </c>
      <c r="F177" s="6" t="s">
        <v>29</v>
      </c>
      <c r="G177" s="5" t="s">
        <v>525</v>
      </c>
      <c r="H177" s="12"/>
      <c r="I177" s="15"/>
      <c r="J177" s="8"/>
      <c r="K177" s="8"/>
    </row>
    <row r="178" spans="1:11" ht="139.5" hidden="1">
      <c r="A178" s="4">
        <v>18</v>
      </c>
      <c r="B178" s="6" t="s">
        <v>488</v>
      </c>
      <c r="C178" s="4" t="s">
        <v>546</v>
      </c>
      <c r="D178" s="5" t="s">
        <v>549</v>
      </c>
      <c r="E178" s="5" t="s">
        <v>39</v>
      </c>
      <c r="F178" s="6" t="s">
        <v>29</v>
      </c>
      <c r="G178" s="5" t="s">
        <v>525</v>
      </c>
      <c r="H178" s="12"/>
      <c r="I178" s="15"/>
      <c r="J178" s="8"/>
      <c r="K178" s="8"/>
    </row>
    <row r="179" spans="1:11" ht="139.5" hidden="1">
      <c r="A179" s="4">
        <v>18</v>
      </c>
      <c r="B179" s="6" t="s">
        <v>488</v>
      </c>
      <c r="C179" s="4" t="s">
        <v>546</v>
      </c>
      <c r="D179" s="5" t="s">
        <v>550</v>
      </c>
      <c r="E179" s="5" t="s">
        <v>39</v>
      </c>
      <c r="F179" s="6" t="s">
        <v>29</v>
      </c>
      <c r="G179" s="5" t="s">
        <v>525</v>
      </c>
      <c r="H179" s="12"/>
      <c r="I179" s="15"/>
      <c r="J179" s="8"/>
      <c r="K179" s="8"/>
    </row>
    <row r="180" spans="1:11" ht="139.5" hidden="1">
      <c r="A180" s="4">
        <v>18</v>
      </c>
      <c r="B180" s="6" t="s">
        <v>488</v>
      </c>
      <c r="C180" s="4" t="s">
        <v>551</v>
      </c>
      <c r="D180" s="5" t="s">
        <v>531</v>
      </c>
      <c r="E180" s="5" t="s">
        <v>39</v>
      </c>
      <c r="F180" s="6" t="s">
        <v>29</v>
      </c>
      <c r="G180" s="5" t="s">
        <v>525</v>
      </c>
      <c r="H180" s="12"/>
      <c r="I180" s="15"/>
      <c r="J180" s="8"/>
      <c r="K180" s="8"/>
    </row>
    <row r="181" spans="1:11" ht="139.5" hidden="1">
      <c r="A181" s="4">
        <v>18</v>
      </c>
      <c r="B181" s="6" t="s">
        <v>488</v>
      </c>
      <c r="C181" s="4" t="s">
        <v>552</v>
      </c>
      <c r="D181" s="5" t="s">
        <v>533</v>
      </c>
      <c r="E181" s="5" t="s">
        <v>39</v>
      </c>
      <c r="F181" s="6" t="s">
        <v>29</v>
      </c>
      <c r="G181" s="5" t="s">
        <v>525</v>
      </c>
      <c r="H181" s="12"/>
      <c r="I181" s="15"/>
      <c r="J181" s="8"/>
      <c r="K181" s="8"/>
    </row>
    <row r="182" spans="1:11" ht="139.5" hidden="1">
      <c r="A182" s="4">
        <v>19</v>
      </c>
      <c r="B182" s="6" t="s">
        <v>488</v>
      </c>
      <c r="C182" s="4" t="s">
        <v>553</v>
      </c>
      <c r="D182" s="5" t="s">
        <v>535</v>
      </c>
      <c r="E182" s="5" t="s">
        <v>39</v>
      </c>
      <c r="F182" s="6" t="s">
        <v>29</v>
      </c>
      <c r="G182" s="5" t="s">
        <v>525</v>
      </c>
      <c r="H182" s="12"/>
      <c r="I182" s="15"/>
      <c r="J182" s="8"/>
      <c r="K182" s="8"/>
    </row>
    <row r="183" spans="1:11" ht="139.5" hidden="1">
      <c r="A183" s="4">
        <v>19</v>
      </c>
      <c r="B183" s="6" t="s">
        <v>488</v>
      </c>
      <c r="C183" s="4" t="s">
        <v>360</v>
      </c>
      <c r="D183" s="5" t="s">
        <v>554</v>
      </c>
      <c r="E183" s="5" t="s">
        <v>39</v>
      </c>
      <c r="F183" s="6" t="s">
        <v>29</v>
      </c>
      <c r="G183" s="5" t="s">
        <v>525</v>
      </c>
      <c r="H183" s="12"/>
      <c r="I183" s="15"/>
      <c r="J183" s="8"/>
      <c r="K183" s="8"/>
    </row>
    <row r="184" spans="1:11" ht="372" hidden="1">
      <c r="A184" s="4">
        <v>19</v>
      </c>
      <c r="B184" s="6" t="s">
        <v>488</v>
      </c>
      <c r="C184" s="4" t="s">
        <v>561</v>
      </c>
      <c r="D184" s="5" t="s">
        <v>562</v>
      </c>
      <c r="E184" s="5" t="s">
        <v>39</v>
      </c>
      <c r="F184" s="6" t="s">
        <v>29</v>
      </c>
      <c r="G184" s="5" t="s">
        <v>563</v>
      </c>
      <c r="H184" s="12"/>
      <c r="I184" s="15"/>
      <c r="J184" s="8"/>
      <c r="K184" s="8"/>
    </row>
    <row r="185" spans="1:11" ht="155.1" hidden="1">
      <c r="A185" s="4">
        <v>19</v>
      </c>
      <c r="B185" s="4" t="s">
        <v>564</v>
      </c>
      <c r="C185" s="4" t="s">
        <v>565</v>
      </c>
      <c r="D185" s="5" t="s">
        <v>566</v>
      </c>
      <c r="E185" s="5" t="s">
        <v>61</v>
      </c>
      <c r="F185" s="6" t="s">
        <v>29</v>
      </c>
      <c r="G185" s="5" t="s">
        <v>56</v>
      </c>
      <c r="H185" s="12"/>
      <c r="I185" s="15"/>
      <c r="J185" s="8"/>
      <c r="K185" s="8"/>
    </row>
    <row r="186" spans="1:11" ht="201.6">
      <c r="A186" s="6">
        <v>19</v>
      </c>
      <c r="B186" s="6" t="s">
        <v>564</v>
      </c>
      <c r="C186" s="6" t="s">
        <v>569</v>
      </c>
      <c r="D186" s="15" t="s">
        <v>570</v>
      </c>
      <c r="E186" s="15" t="s">
        <v>61</v>
      </c>
      <c r="F186" s="6" t="s">
        <v>21</v>
      </c>
      <c r="G186" s="15" t="s">
        <v>571</v>
      </c>
      <c r="H186" s="12"/>
      <c r="I186" s="15"/>
      <c r="J186" s="8"/>
      <c r="K186" s="8"/>
    </row>
    <row r="187" spans="1:11" ht="201.6">
      <c r="A187" s="6">
        <v>19</v>
      </c>
      <c r="B187" s="6" t="s">
        <v>564</v>
      </c>
      <c r="C187" s="6" t="s">
        <v>573</v>
      </c>
      <c r="D187" s="15" t="s">
        <v>574</v>
      </c>
      <c r="E187" s="15" t="s">
        <v>39</v>
      </c>
      <c r="F187" s="6" t="s">
        <v>21</v>
      </c>
      <c r="G187" s="15" t="s">
        <v>571</v>
      </c>
      <c r="H187" s="12"/>
      <c r="I187" s="15"/>
      <c r="J187" s="8"/>
      <c r="K187" s="8"/>
    </row>
    <row r="188" spans="1:11" ht="108.6" hidden="1">
      <c r="A188" s="4">
        <v>19</v>
      </c>
      <c r="B188" s="4" t="s">
        <v>564</v>
      </c>
      <c r="C188" s="4" t="s">
        <v>575</v>
      </c>
      <c r="D188" s="5" t="s">
        <v>576</v>
      </c>
      <c r="E188" s="5" t="s">
        <v>61</v>
      </c>
      <c r="F188" s="6" t="s">
        <v>29</v>
      </c>
      <c r="G188" s="5" t="s">
        <v>56</v>
      </c>
      <c r="H188" s="12"/>
      <c r="I188" s="15"/>
      <c r="J188" s="8"/>
      <c r="K188" s="8"/>
    </row>
    <row r="189" spans="1:11" ht="77.45" hidden="1">
      <c r="A189" s="4">
        <v>19</v>
      </c>
      <c r="B189" s="4" t="s">
        <v>564</v>
      </c>
      <c r="C189" s="4" t="s">
        <v>577</v>
      </c>
      <c r="D189" s="5" t="s">
        <v>578</v>
      </c>
      <c r="E189" s="5" t="s">
        <v>61</v>
      </c>
      <c r="F189" s="6" t="s">
        <v>29</v>
      </c>
      <c r="G189" s="5" t="s">
        <v>56</v>
      </c>
      <c r="H189" s="12"/>
      <c r="I189" s="15"/>
      <c r="J189" s="8"/>
      <c r="K189" s="8"/>
    </row>
    <row r="190" spans="1:11" ht="186" hidden="1">
      <c r="A190" s="4">
        <v>19</v>
      </c>
      <c r="B190" s="4" t="s">
        <v>564</v>
      </c>
      <c r="C190" s="4" t="s">
        <v>579</v>
      </c>
      <c r="D190" s="5" t="s">
        <v>580</v>
      </c>
      <c r="E190" s="5" t="s">
        <v>61</v>
      </c>
      <c r="F190" s="6" t="s">
        <v>29</v>
      </c>
      <c r="G190" s="5" t="s">
        <v>581</v>
      </c>
      <c r="H190" s="12"/>
      <c r="I190" s="15"/>
      <c r="J190" s="8"/>
      <c r="K190" s="8"/>
    </row>
    <row r="191" spans="1:11" ht="248.1" hidden="1">
      <c r="A191" s="4">
        <v>19</v>
      </c>
      <c r="B191" s="4" t="s">
        <v>564</v>
      </c>
      <c r="C191" s="4" t="s">
        <v>582</v>
      </c>
      <c r="D191" s="5" t="s">
        <v>583</v>
      </c>
      <c r="E191" s="5" t="s">
        <v>425</v>
      </c>
      <c r="F191" s="6" t="s">
        <v>29</v>
      </c>
      <c r="G191" s="5" t="s">
        <v>584</v>
      </c>
      <c r="H191" s="12"/>
      <c r="I191" s="15"/>
      <c r="J191" s="8"/>
      <c r="K191" s="8"/>
    </row>
    <row r="192" spans="1:11" ht="279" hidden="1">
      <c r="A192" s="4">
        <v>20</v>
      </c>
      <c r="B192" s="4" t="s">
        <v>564</v>
      </c>
      <c r="C192" s="4" t="s">
        <v>582</v>
      </c>
      <c r="D192" s="5" t="s">
        <v>587</v>
      </c>
      <c r="E192" s="5" t="s">
        <v>425</v>
      </c>
      <c r="F192" s="6" t="s">
        <v>29</v>
      </c>
      <c r="G192" s="5" t="s">
        <v>588</v>
      </c>
      <c r="H192" s="12"/>
      <c r="I192" s="15"/>
      <c r="J192" s="8"/>
      <c r="K192" s="8"/>
    </row>
    <row r="193" spans="1:11" ht="294.60000000000002" hidden="1">
      <c r="A193" s="4">
        <v>20</v>
      </c>
      <c r="B193" s="4" t="s">
        <v>564</v>
      </c>
      <c r="C193" s="4" t="s">
        <v>589</v>
      </c>
      <c r="D193" s="5" t="s">
        <v>590</v>
      </c>
      <c r="E193" s="5" t="s">
        <v>425</v>
      </c>
      <c r="F193" s="6" t="s">
        <v>29</v>
      </c>
      <c r="G193" s="5" t="s">
        <v>56</v>
      </c>
      <c r="H193" s="12"/>
      <c r="I193" s="15"/>
      <c r="J193" s="8"/>
      <c r="K193" s="8"/>
    </row>
    <row r="194" spans="1:11" ht="93" hidden="1">
      <c r="A194" s="4">
        <v>20</v>
      </c>
      <c r="B194" s="4" t="s">
        <v>564</v>
      </c>
      <c r="C194" s="4" t="s">
        <v>591</v>
      </c>
      <c r="D194" s="5" t="s">
        <v>592</v>
      </c>
      <c r="E194" s="5" t="s">
        <v>425</v>
      </c>
      <c r="F194" s="6" t="s">
        <v>29</v>
      </c>
      <c r="G194" s="5" t="s">
        <v>56</v>
      </c>
      <c r="H194" s="12"/>
      <c r="I194" s="15"/>
      <c r="J194" s="8"/>
      <c r="K194" s="8"/>
    </row>
    <row r="195" spans="1:11" ht="139.5" hidden="1">
      <c r="A195" s="4">
        <v>20</v>
      </c>
      <c r="B195" s="4" t="s">
        <v>564</v>
      </c>
      <c r="C195" s="4" t="s">
        <v>593</v>
      </c>
      <c r="D195" s="5" t="s">
        <v>594</v>
      </c>
      <c r="E195" s="5" t="s">
        <v>425</v>
      </c>
      <c r="F195" s="6" t="s">
        <v>29</v>
      </c>
      <c r="G195" s="5" t="s">
        <v>56</v>
      </c>
      <c r="H195" s="12"/>
      <c r="I195" s="15"/>
      <c r="J195" s="8"/>
      <c r="K195" s="8"/>
    </row>
    <row r="196" spans="1:11" ht="279" hidden="1">
      <c r="A196" s="4">
        <v>20</v>
      </c>
      <c r="B196" s="4" t="s">
        <v>564</v>
      </c>
      <c r="C196" s="4" t="s">
        <v>595</v>
      </c>
      <c r="D196" s="5" t="s">
        <v>596</v>
      </c>
      <c r="E196" s="5" t="s">
        <v>425</v>
      </c>
      <c r="F196" s="6" t="s">
        <v>29</v>
      </c>
      <c r="G196" s="5" t="s">
        <v>56</v>
      </c>
      <c r="H196" s="12"/>
      <c r="I196" s="15"/>
      <c r="J196" s="8"/>
      <c r="K196" s="8"/>
    </row>
    <row r="197" spans="1:11" ht="46.5">
      <c r="A197" s="6">
        <v>20</v>
      </c>
      <c r="B197" s="6" t="s">
        <v>564</v>
      </c>
      <c r="C197" s="6" t="s">
        <v>160</v>
      </c>
      <c r="D197" s="15" t="s">
        <v>597</v>
      </c>
      <c r="E197" s="15" t="s">
        <v>425</v>
      </c>
      <c r="F197" s="6" t="s">
        <v>557</v>
      </c>
      <c r="G197" s="15" t="s">
        <v>598</v>
      </c>
      <c r="H197" s="12"/>
      <c r="I197" s="15"/>
      <c r="J197" s="8"/>
      <c r="K197" s="8"/>
    </row>
    <row r="198" spans="1:11" ht="201.6">
      <c r="A198" s="6">
        <v>20</v>
      </c>
      <c r="B198" s="6" t="s">
        <v>564</v>
      </c>
      <c r="C198" s="6" t="s">
        <v>599</v>
      </c>
      <c r="D198" s="15" t="s">
        <v>600</v>
      </c>
      <c r="E198" s="15" t="s">
        <v>425</v>
      </c>
      <c r="F198" s="6" t="s">
        <v>557</v>
      </c>
      <c r="G198" s="15" t="s">
        <v>601</v>
      </c>
      <c r="H198" s="12"/>
      <c r="I198" s="15"/>
      <c r="J198" s="8"/>
      <c r="K198" s="8"/>
    </row>
    <row r="199" spans="1:11" ht="201.6">
      <c r="A199" s="6">
        <v>20</v>
      </c>
      <c r="B199" s="6" t="s">
        <v>564</v>
      </c>
      <c r="C199" s="6" t="s">
        <v>602</v>
      </c>
      <c r="D199" s="15" t="s">
        <v>603</v>
      </c>
      <c r="E199" s="15" t="s">
        <v>425</v>
      </c>
      <c r="F199" s="6" t="s">
        <v>557</v>
      </c>
      <c r="G199" s="15" t="s">
        <v>601</v>
      </c>
      <c r="H199" s="12"/>
      <c r="I199" s="15"/>
      <c r="J199" s="8"/>
      <c r="K199" s="8"/>
    </row>
    <row r="200" spans="1:11" ht="30.95" hidden="1">
      <c r="A200" s="4">
        <v>20</v>
      </c>
      <c r="B200" s="4" t="s">
        <v>564</v>
      </c>
      <c r="C200" s="4" t="s">
        <v>604</v>
      </c>
      <c r="D200" s="5" t="s">
        <v>605</v>
      </c>
      <c r="E200" s="5" t="s">
        <v>61</v>
      </c>
      <c r="F200" s="6" t="s">
        <v>29</v>
      </c>
      <c r="G200" s="5" t="s">
        <v>56</v>
      </c>
      <c r="H200" s="12"/>
      <c r="I200" s="15"/>
      <c r="J200" s="8"/>
      <c r="K200" s="8"/>
    </row>
    <row r="201" spans="1:11" ht="186" hidden="1">
      <c r="A201" s="4">
        <v>20</v>
      </c>
      <c r="B201" s="4" t="s">
        <v>564</v>
      </c>
      <c r="C201" s="4" t="s">
        <v>606</v>
      </c>
      <c r="D201" s="5" t="s">
        <v>607</v>
      </c>
      <c r="E201" s="5" t="s">
        <v>61</v>
      </c>
      <c r="F201" s="6" t="s">
        <v>29</v>
      </c>
      <c r="G201" s="5" t="s">
        <v>56</v>
      </c>
      <c r="H201" s="12"/>
      <c r="I201" s="15"/>
      <c r="J201" s="8"/>
      <c r="K201" s="8"/>
    </row>
    <row r="202" spans="1:11" ht="155.1" hidden="1">
      <c r="A202" s="4">
        <v>20</v>
      </c>
      <c r="B202" s="4" t="s">
        <v>564</v>
      </c>
      <c r="C202" s="4" t="s">
        <v>608</v>
      </c>
      <c r="D202" s="5" t="s">
        <v>609</v>
      </c>
      <c r="E202" s="5" t="s">
        <v>61</v>
      </c>
      <c r="F202" s="6" t="s">
        <v>29</v>
      </c>
      <c r="G202" s="5" t="s">
        <v>56</v>
      </c>
      <c r="H202" s="12"/>
      <c r="I202" s="15"/>
      <c r="J202" s="8"/>
      <c r="K202" s="8"/>
    </row>
    <row r="203" spans="1:11" ht="155.1" hidden="1">
      <c r="A203" s="4">
        <v>21</v>
      </c>
      <c r="B203" s="4" t="s">
        <v>564</v>
      </c>
      <c r="C203" s="4" t="s">
        <v>610</v>
      </c>
      <c r="D203" s="5" t="s">
        <v>609</v>
      </c>
      <c r="E203" s="5" t="s">
        <v>61</v>
      </c>
      <c r="F203" s="6" t="s">
        <v>29</v>
      </c>
      <c r="G203" s="5" t="s">
        <v>56</v>
      </c>
      <c r="H203" s="12"/>
      <c r="I203" s="15"/>
      <c r="J203" s="8"/>
      <c r="K203" s="8"/>
    </row>
    <row r="204" spans="1:11" ht="30.95" hidden="1">
      <c r="A204" s="4">
        <v>21</v>
      </c>
      <c r="B204" s="4" t="s">
        <v>564</v>
      </c>
      <c r="C204" s="4" t="s">
        <v>611</v>
      </c>
      <c r="D204" s="5" t="s">
        <v>612</v>
      </c>
      <c r="E204" s="5" t="s">
        <v>61</v>
      </c>
      <c r="F204" s="6" t="s">
        <v>29</v>
      </c>
      <c r="G204" s="5" t="s">
        <v>56</v>
      </c>
      <c r="H204" s="12"/>
      <c r="I204" s="15"/>
      <c r="J204" s="8"/>
      <c r="K204" s="8"/>
    </row>
    <row r="205" spans="1:11" ht="123.95" hidden="1">
      <c r="A205" s="4">
        <v>21</v>
      </c>
      <c r="B205" s="4" t="s">
        <v>564</v>
      </c>
      <c r="C205" s="4" t="s">
        <v>613</v>
      </c>
      <c r="D205" s="5" t="s">
        <v>614</v>
      </c>
      <c r="E205" s="5" t="s">
        <v>61</v>
      </c>
      <c r="F205" s="6" t="s">
        <v>29</v>
      </c>
      <c r="G205" s="5" t="s">
        <v>56</v>
      </c>
      <c r="H205" s="12"/>
      <c r="I205" s="15"/>
      <c r="J205" s="8"/>
      <c r="K205" s="8"/>
    </row>
    <row r="206" spans="1:11" ht="108.6" hidden="1">
      <c r="A206" s="4">
        <v>21</v>
      </c>
      <c r="B206" s="4" t="s">
        <v>564</v>
      </c>
      <c r="C206" s="4" t="s">
        <v>613</v>
      </c>
      <c r="D206" s="5" t="s">
        <v>615</v>
      </c>
      <c r="E206" s="5" t="s">
        <v>61</v>
      </c>
      <c r="F206" s="6" t="s">
        <v>29</v>
      </c>
      <c r="G206" s="5" t="s">
        <v>56</v>
      </c>
      <c r="H206" s="12"/>
      <c r="I206" s="15"/>
      <c r="J206" s="8"/>
      <c r="K206" s="8"/>
    </row>
    <row r="207" spans="1:11" ht="46.5" hidden="1">
      <c r="A207" s="4">
        <v>21</v>
      </c>
      <c r="B207" s="4" t="s">
        <v>564</v>
      </c>
      <c r="C207" s="4" t="s">
        <v>616</v>
      </c>
      <c r="D207" s="5" t="s">
        <v>617</v>
      </c>
      <c r="E207" s="5" t="s">
        <v>61</v>
      </c>
      <c r="F207" s="6" t="s">
        <v>29</v>
      </c>
      <c r="G207" s="5" t="s">
        <v>56</v>
      </c>
      <c r="H207" s="12"/>
      <c r="I207" s="15"/>
      <c r="J207" s="8"/>
      <c r="K207" s="8"/>
    </row>
    <row r="208" spans="1:11" ht="139.5" hidden="1">
      <c r="A208" s="4">
        <v>21</v>
      </c>
      <c r="B208" s="4" t="s">
        <v>564</v>
      </c>
      <c r="C208" s="4" t="s">
        <v>618</v>
      </c>
      <c r="D208" s="5" t="s">
        <v>619</v>
      </c>
      <c r="E208" s="5" t="s">
        <v>61</v>
      </c>
      <c r="F208" s="6" t="s">
        <v>29</v>
      </c>
      <c r="G208" s="5" t="s">
        <v>56</v>
      </c>
      <c r="H208" s="12"/>
      <c r="I208" s="15"/>
      <c r="J208" s="8"/>
      <c r="K208" s="8"/>
    </row>
    <row r="209" spans="1:11" ht="155.1" hidden="1">
      <c r="A209" s="4">
        <v>21</v>
      </c>
      <c r="B209" s="4" t="s">
        <v>564</v>
      </c>
      <c r="C209" s="4" t="s">
        <v>620</v>
      </c>
      <c r="D209" s="5" t="s">
        <v>621</v>
      </c>
      <c r="E209" s="5" t="s">
        <v>61</v>
      </c>
      <c r="F209" s="6" t="s">
        <v>29</v>
      </c>
      <c r="G209" s="5" t="s">
        <v>56</v>
      </c>
      <c r="H209" s="12"/>
      <c r="I209" s="15"/>
      <c r="J209" s="8"/>
      <c r="K209" s="8"/>
    </row>
    <row r="210" spans="1:11" ht="139.5" hidden="1">
      <c r="A210" s="4">
        <v>21</v>
      </c>
      <c r="B210" s="4" t="s">
        <v>564</v>
      </c>
      <c r="C210" s="4" t="s">
        <v>622</v>
      </c>
      <c r="D210" s="5" t="s">
        <v>623</v>
      </c>
      <c r="E210" s="5" t="s">
        <v>39</v>
      </c>
      <c r="F210" s="6" t="s">
        <v>29</v>
      </c>
      <c r="G210" s="5" t="s">
        <v>624</v>
      </c>
      <c r="H210" s="12"/>
      <c r="I210" s="15"/>
      <c r="J210" s="8"/>
      <c r="K210" s="8"/>
    </row>
    <row r="211" spans="1:11" ht="155.1" hidden="1">
      <c r="A211" s="4">
        <v>21</v>
      </c>
      <c r="B211" s="4" t="s">
        <v>564</v>
      </c>
      <c r="C211" s="4" t="s">
        <v>625</v>
      </c>
      <c r="D211" s="5" t="s">
        <v>626</v>
      </c>
      <c r="E211" s="5" t="s">
        <v>39</v>
      </c>
      <c r="F211" s="6" t="s">
        <v>29</v>
      </c>
      <c r="G211" s="5" t="s">
        <v>627</v>
      </c>
      <c r="H211" s="12"/>
      <c r="I211" s="15"/>
      <c r="J211" s="8"/>
      <c r="K211" s="8"/>
    </row>
    <row r="212" spans="1:11" ht="30.95" hidden="1">
      <c r="A212" s="4">
        <v>21</v>
      </c>
      <c r="B212" s="4" t="s">
        <v>564</v>
      </c>
      <c r="C212" s="4" t="s">
        <v>163</v>
      </c>
      <c r="D212" s="5" t="s">
        <v>628</v>
      </c>
      <c r="E212" s="5" t="s">
        <v>425</v>
      </c>
      <c r="F212" s="6" t="s">
        <v>29</v>
      </c>
      <c r="G212" s="5" t="s">
        <v>629</v>
      </c>
      <c r="H212" s="12"/>
      <c r="I212" s="15"/>
      <c r="J212" s="8"/>
      <c r="K212" s="8"/>
    </row>
    <row r="213" spans="1:11" ht="123.95" hidden="1">
      <c r="A213" s="4">
        <v>21</v>
      </c>
      <c r="B213" s="4" t="s">
        <v>564</v>
      </c>
      <c r="C213" s="4" t="s">
        <v>631</v>
      </c>
      <c r="D213" s="5" t="s">
        <v>632</v>
      </c>
      <c r="E213" s="5" t="s">
        <v>425</v>
      </c>
      <c r="F213" s="6" t="s">
        <v>29</v>
      </c>
      <c r="G213" s="5" t="s">
        <v>633</v>
      </c>
      <c r="H213" s="12"/>
      <c r="I213" s="15"/>
      <c r="J213" s="8"/>
      <c r="K213" s="8"/>
    </row>
    <row r="214" spans="1:11" ht="108.6" hidden="1">
      <c r="A214" s="4">
        <v>21</v>
      </c>
      <c r="B214" s="4" t="s">
        <v>564</v>
      </c>
      <c r="C214" s="4" t="s">
        <v>634</v>
      </c>
      <c r="D214" s="5" t="s">
        <v>635</v>
      </c>
      <c r="E214" s="5" t="s">
        <v>425</v>
      </c>
      <c r="F214" s="6" t="s">
        <v>29</v>
      </c>
      <c r="G214" s="5" t="s">
        <v>56</v>
      </c>
      <c r="H214" s="12"/>
      <c r="I214" s="15"/>
      <c r="J214" s="8"/>
      <c r="K214" s="8"/>
    </row>
    <row r="215" spans="1:11" ht="123.95" hidden="1">
      <c r="A215" s="4">
        <v>21</v>
      </c>
      <c r="B215" s="4" t="s">
        <v>564</v>
      </c>
      <c r="C215" s="4" t="s">
        <v>636</v>
      </c>
      <c r="D215" s="5" t="s">
        <v>637</v>
      </c>
      <c r="E215" s="5" t="s">
        <v>425</v>
      </c>
      <c r="F215" s="6" t="s">
        <v>29</v>
      </c>
      <c r="G215" s="5" t="s">
        <v>638</v>
      </c>
      <c r="H215" s="12"/>
      <c r="I215" s="15"/>
      <c r="J215" s="8"/>
      <c r="K215" s="8"/>
    </row>
    <row r="216" spans="1:11" ht="46.5" hidden="1">
      <c r="A216" s="4">
        <v>21</v>
      </c>
      <c r="B216" s="4" t="s">
        <v>564</v>
      </c>
      <c r="C216" s="4" t="s">
        <v>166</v>
      </c>
      <c r="D216" s="5" t="s">
        <v>639</v>
      </c>
      <c r="E216" s="5" t="s">
        <v>425</v>
      </c>
      <c r="F216" s="6" t="s">
        <v>29</v>
      </c>
      <c r="G216" s="5" t="s">
        <v>640</v>
      </c>
      <c r="H216" s="12"/>
      <c r="I216" s="15"/>
      <c r="J216" s="8"/>
      <c r="K216" s="8"/>
    </row>
    <row r="217" spans="1:11" ht="123.95" hidden="1">
      <c r="A217" s="4">
        <v>21</v>
      </c>
      <c r="B217" s="4" t="s">
        <v>564</v>
      </c>
      <c r="C217" s="4" t="s">
        <v>641</v>
      </c>
      <c r="D217" s="5" t="s">
        <v>642</v>
      </c>
      <c r="E217" s="5" t="s">
        <v>425</v>
      </c>
      <c r="F217" s="6" t="s">
        <v>29</v>
      </c>
      <c r="G217" s="5" t="s">
        <v>633</v>
      </c>
      <c r="H217" s="12"/>
      <c r="I217" s="15"/>
      <c r="J217" s="8"/>
      <c r="K217" s="8"/>
    </row>
    <row r="218" spans="1:11" ht="77.45" hidden="1">
      <c r="A218" s="4">
        <v>21</v>
      </c>
      <c r="B218" s="4" t="s">
        <v>564</v>
      </c>
      <c r="C218" s="4" t="s">
        <v>643</v>
      </c>
      <c r="D218" s="5" t="s">
        <v>644</v>
      </c>
      <c r="E218" s="5" t="s">
        <v>425</v>
      </c>
      <c r="F218" s="6" t="s">
        <v>29</v>
      </c>
      <c r="G218" s="5" t="s">
        <v>56</v>
      </c>
      <c r="H218" s="12"/>
      <c r="I218" s="15"/>
      <c r="J218" s="8"/>
      <c r="K218" s="8"/>
    </row>
    <row r="219" spans="1:11" ht="93" hidden="1">
      <c r="A219" s="4">
        <v>21</v>
      </c>
      <c r="B219" s="4" t="s">
        <v>564</v>
      </c>
      <c r="C219" s="4" t="s">
        <v>645</v>
      </c>
      <c r="D219" s="5" t="s">
        <v>646</v>
      </c>
      <c r="E219" s="5" t="s">
        <v>425</v>
      </c>
      <c r="F219" s="6" t="s">
        <v>29</v>
      </c>
      <c r="G219" s="5" t="s">
        <v>56</v>
      </c>
      <c r="H219" s="12"/>
      <c r="I219" s="15"/>
      <c r="J219" s="8"/>
      <c r="K219" s="8"/>
    </row>
    <row r="220" spans="1:11" ht="77.45" hidden="1">
      <c r="A220" s="4">
        <v>21</v>
      </c>
      <c r="B220" s="4" t="s">
        <v>564</v>
      </c>
      <c r="C220" s="4" t="s">
        <v>647</v>
      </c>
      <c r="D220" s="5" t="s">
        <v>648</v>
      </c>
      <c r="E220" s="5" t="s">
        <v>39</v>
      </c>
      <c r="F220" s="6" t="s">
        <v>29</v>
      </c>
      <c r="G220" s="5" t="s">
        <v>649</v>
      </c>
      <c r="H220" s="12"/>
      <c r="I220" s="15"/>
      <c r="J220" s="8"/>
      <c r="K220" s="8"/>
    </row>
    <row r="221" spans="1:11" ht="30.95">
      <c r="A221" s="6">
        <v>21</v>
      </c>
      <c r="B221" s="6" t="s">
        <v>564</v>
      </c>
      <c r="C221" s="6" t="s">
        <v>650</v>
      </c>
      <c r="D221" s="15" t="s">
        <v>651</v>
      </c>
      <c r="E221" s="15" t="s">
        <v>425</v>
      </c>
      <c r="F221" s="6" t="s">
        <v>557</v>
      </c>
      <c r="G221" s="15" t="s">
        <v>652</v>
      </c>
      <c r="H221" s="12"/>
      <c r="I221" s="15"/>
      <c r="J221" s="8"/>
      <c r="K221" s="8"/>
    </row>
    <row r="222" spans="1:11" ht="279">
      <c r="A222" s="6">
        <v>21</v>
      </c>
      <c r="B222" s="6" t="s">
        <v>564</v>
      </c>
      <c r="C222" s="6" t="s">
        <v>654</v>
      </c>
      <c r="D222" s="15" t="s">
        <v>655</v>
      </c>
      <c r="E222" s="15" t="s">
        <v>425</v>
      </c>
      <c r="F222" s="6" t="s">
        <v>557</v>
      </c>
      <c r="G222" s="15" t="s">
        <v>656</v>
      </c>
      <c r="H222" s="12"/>
      <c r="I222" s="15"/>
      <c r="J222" s="8"/>
      <c r="K222" s="8"/>
    </row>
    <row r="223" spans="1:11" ht="279">
      <c r="A223" s="6">
        <v>22</v>
      </c>
      <c r="B223" s="6" t="s">
        <v>564</v>
      </c>
      <c r="C223" s="6" t="s">
        <v>657</v>
      </c>
      <c r="D223" s="15" t="s">
        <v>658</v>
      </c>
      <c r="E223" s="15" t="s">
        <v>425</v>
      </c>
      <c r="F223" s="6" t="s">
        <v>557</v>
      </c>
      <c r="G223" s="15" t="s">
        <v>659</v>
      </c>
      <c r="H223" s="12"/>
      <c r="I223" s="15"/>
      <c r="J223" s="8"/>
      <c r="K223" s="8"/>
    </row>
    <row r="224" spans="1:11" ht="30.95">
      <c r="A224" s="6">
        <v>22</v>
      </c>
      <c r="B224" s="6" t="s">
        <v>564</v>
      </c>
      <c r="C224" s="6" t="s">
        <v>660</v>
      </c>
      <c r="D224" s="15" t="s">
        <v>661</v>
      </c>
      <c r="E224" s="15" t="s">
        <v>425</v>
      </c>
      <c r="F224" s="6" t="s">
        <v>557</v>
      </c>
      <c r="G224" s="15" t="s">
        <v>662</v>
      </c>
      <c r="H224" s="12"/>
      <c r="I224" s="15"/>
      <c r="J224" s="8"/>
      <c r="K224" s="8"/>
    </row>
    <row r="225" spans="1:11" ht="294.60000000000002">
      <c r="A225" s="6">
        <v>22</v>
      </c>
      <c r="B225" s="6" t="s">
        <v>564</v>
      </c>
      <c r="C225" s="6" t="s">
        <v>663</v>
      </c>
      <c r="D225" s="15" t="s">
        <v>664</v>
      </c>
      <c r="E225" s="15" t="s">
        <v>425</v>
      </c>
      <c r="F225" s="6" t="s">
        <v>557</v>
      </c>
      <c r="G225" s="15" t="s">
        <v>665</v>
      </c>
      <c r="H225" s="12"/>
      <c r="I225" s="15"/>
      <c r="J225" s="8"/>
      <c r="K225" s="8"/>
    </row>
    <row r="226" spans="1:11" ht="279">
      <c r="A226" s="6">
        <v>22</v>
      </c>
      <c r="B226" s="6" t="s">
        <v>564</v>
      </c>
      <c r="C226" s="6" t="s">
        <v>666</v>
      </c>
      <c r="D226" s="15" t="s">
        <v>667</v>
      </c>
      <c r="E226" s="15" t="s">
        <v>425</v>
      </c>
      <c r="F226" s="6" t="s">
        <v>557</v>
      </c>
      <c r="G226" s="15" t="s">
        <v>668</v>
      </c>
      <c r="H226" s="12"/>
      <c r="I226" s="15"/>
      <c r="J226" s="8"/>
      <c r="K226" s="8"/>
    </row>
    <row r="227" spans="1:11" ht="294.60000000000002">
      <c r="A227" s="6">
        <v>22</v>
      </c>
      <c r="B227" s="6" t="s">
        <v>564</v>
      </c>
      <c r="C227" s="6" t="s">
        <v>669</v>
      </c>
      <c r="D227" s="15" t="s">
        <v>670</v>
      </c>
      <c r="E227" s="15" t="s">
        <v>425</v>
      </c>
      <c r="F227" s="6" t="s">
        <v>557</v>
      </c>
      <c r="G227" s="15" t="s">
        <v>671</v>
      </c>
      <c r="H227" s="12"/>
      <c r="I227" s="15"/>
      <c r="J227" s="8"/>
      <c r="K227" s="8"/>
    </row>
    <row r="228" spans="1:11" ht="46.5">
      <c r="A228" s="6">
        <v>22</v>
      </c>
      <c r="B228" s="6" t="s">
        <v>564</v>
      </c>
      <c r="C228" s="6" t="s">
        <v>672</v>
      </c>
      <c r="D228" s="15" t="s">
        <v>673</v>
      </c>
      <c r="E228" s="15" t="s">
        <v>425</v>
      </c>
      <c r="F228" s="6" t="s">
        <v>557</v>
      </c>
      <c r="G228" s="15" t="s">
        <v>674</v>
      </c>
      <c r="H228" s="12"/>
      <c r="I228" s="15"/>
      <c r="J228" s="8"/>
      <c r="K228" s="8"/>
    </row>
    <row r="229" spans="1:11" ht="325.5">
      <c r="A229" s="6">
        <v>22</v>
      </c>
      <c r="B229" s="6" t="s">
        <v>564</v>
      </c>
      <c r="C229" s="6" t="s">
        <v>676</v>
      </c>
      <c r="D229" s="15" t="s">
        <v>677</v>
      </c>
      <c r="E229" s="15" t="s">
        <v>425</v>
      </c>
      <c r="F229" s="6" t="s">
        <v>557</v>
      </c>
      <c r="G229" s="15" t="s">
        <v>678</v>
      </c>
      <c r="H229" s="12"/>
      <c r="I229" s="15"/>
      <c r="J229" s="8"/>
      <c r="K229" s="8"/>
    </row>
    <row r="230" spans="1:11" ht="309.95">
      <c r="A230" s="6">
        <v>22</v>
      </c>
      <c r="B230" s="6" t="s">
        <v>564</v>
      </c>
      <c r="C230" s="6" t="s">
        <v>679</v>
      </c>
      <c r="D230" s="15" t="s">
        <v>680</v>
      </c>
      <c r="E230" s="15" t="s">
        <v>425</v>
      </c>
      <c r="F230" s="6" t="s">
        <v>557</v>
      </c>
      <c r="G230" s="15" t="s">
        <v>681</v>
      </c>
      <c r="H230" s="12"/>
      <c r="I230" s="15"/>
      <c r="J230" s="8"/>
      <c r="K230" s="8"/>
    </row>
    <row r="231" spans="1:11" ht="186" hidden="1">
      <c r="A231" s="4">
        <v>22</v>
      </c>
      <c r="B231" s="4" t="s">
        <v>564</v>
      </c>
      <c r="C231" s="4" t="s">
        <v>169</v>
      </c>
      <c r="D231" s="5" t="s">
        <v>682</v>
      </c>
      <c r="E231" s="5" t="s">
        <v>61</v>
      </c>
      <c r="F231" s="4" t="s">
        <v>29</v>
      </c>
      <c r="G231" s="5" t="s">
        <v>683</v>
      </c>
      <c r="H231" s="12"/>
      <c r="I231" s="15"/>
      <c r="J231" s="8"/>
      <c r="K231" s="8"/>
    </row>
    <row r="232" spans="1:11" ht="186" hidden="1">
      <c r="A232" s="4">
        <v>22</v>
      </c>
      <c r="B232" s="4" t="s">
        <v>564</v>
      </c>
      <c r="C232" s="4" t="s">
        <v>172</v>
      </c>
      <c r="D232" s="5" t="s">
        <v>684</v>
      </c>
      <c r="E232" s="5" t="s">
        <v>61</v>
      </c>
      <c r="F232" s="4" t="s">
        <v>29</v>
      </c>
      <c r="G232" s="5" t="s">
        <v>685</v>
      </c>
      <c r="H232" s="12"/>
      <c r="I232" s="15"/>
      <c r="J232" s="8"/>
      <c r="K232" s="8"/>
    </row>
    <row r="233" spans="1:11" ht="123.95" hidden="1">
      <c r="A233" s="4">
        <v>22</v>
      </c>
      <c r="B233" s="4" t="s">
        <v>564</v>
      </c>
      <c r="C233" s="4" t="s">
        <v>175</v>
      </c>
      <c r="D233" s="5" t="s">
        <v>686</v>
      </c>
      <c r="E233" s="5" t="s">
        <v>61</v>
      </c>
      <c r="F233" s="4" t="s">
        <v>29</v>
      </c>
      <c r="G233" s="5" t="s">
        <v>56</v>
      </c>
      <c r="H233" s="12"/>
      <c r="I233" s="15"/>
      <c r="J233" s="8"/>
      <c r="K233" s="8"/>
    </row>
    <row r="234" spans="1:11" ht="123.95">
      <c r="A234" s="6">
        <v>22</v>
      </c>
      <c r="B234" s="6" t="s">
        <v>564</v>
      </c>
      <c r="C234" s="6" t="s">
        <v>688</v>
      </c>
      <c r="D234" s="15" t="s">
        <v>689</v>
      </c>
      <c r="E234" s="15" t="s">
        <v>61</v>
      </c>
      <c r="F234" s="6" t="s">
        <v>116</v>
      </c>
      <c r="G234" s="15" t="s">
        <v>1125</v>
      </c>
      <c r="H234" s="12"/>
      <c r="I234" s="15"/>
      <c r="J234" s="8"/>
      <c r="K234" s="8"/>
    </row>
    <row r="235" spans="1:11" ht="30.95">
      <c r="A235" s="6">
        <v>22</v>
      </c>
      <c r="B235" s="6" t="s">
        <v>564</v>
      </c>
      <c r="C235" s="6" t="s">
        <v>692</v>
      </c>
      <c r="D235" s="15" t="s">
        <v>693</v>
      </c>
      <c r="E235" s="15" t="s">
        <v>61</v>
      </c>
      <c r="F235" s="6" t="s">
        <v>21</v>
      </c>
      <c r="G235" s="15" t="s">
        <v>694</v>
      </c>
      <c r="H235" s="12"/>
      <c r="I235" s="15"/>
      <c r="J235" s="8"/>
      <c r="K235" s="8"/>
    </row>
    <row r="236" spans="1:11" ht="170.45" hidden="1">
      <c r="A236" s="4">
        <v>22</v>
      </c>
      <c r="B236" s="4" t="s">
        <v>564</v>
      </c>
      <c r="C236" s="4" t="s">
        <v>695</v>
      </c>
      <c r="D236" s="5" t="s">
        <v>696</v>
      </c>
      <c r="E236" s="5" t="s">
        <v>61</v>
      </c>
      <c r="F236" s="4" t="s">
        <v>29</v>
      </c>
      <c r="G236" s="5" t="s">
        <v>697</v>
      </c>
      <c r="H236" s="12"/>
      <c r="I236" s="15"/>
      <c r="J236" s="8"/>
      <c r="K236" s="8"/>
    </row>
    <row r="237" spans="1:11" ht="62.1" hidden="1">
      <c r="A237" s="4">
        <v>22</v>
      </c>
      <c r="B237" s="4" t="s">
        <v>564</v>
      </c>
      <c r="C237" s="4" t="s">
        <v>698</v>
      </c>
      <c r="D237" s="5" t="s">
        <v>699</v>
      </c>
      <c r="E237" s="5" t="s">
        <v>61</v>
      </c>
      <c r="F237" s="4" t="s">
        <v>29</v>
      </c>
      <c r="G237" s="5" t="s">
        <v>56</v>
      </c>
      <c r="H237" s="12"/>
      <c r="I237" s="15"/>
      <c r="J237" s="8"/>
      <c r="K237" s="8"/>
    </row>
    <row r="238" spans="1:11" ht="77.45" hidden="1">
      <c r="A238" s="4">
        <v>23</v>
      </c>
      <c r="B238" s="4" t="s">
        <v>564</v>
      </c>
      <c r="C238" s="4" t="s">
        <v>700</v>
      </c>
      <c r="D238" s="5" t="s">
        <v>701</v>
      </c>
      <c r="E238" s="5" t="s">
        <v>61</v>
      </c>
      <c r="F238" s="4" t="s">
        <v>29</v>
      </c>
      <c r="G238" s="5" t="s">
        <v>56</v>
      </c>
      <c r="H238" s="12"/>
      <c r="I238" s="15"/>
      <c r="J238" s="8"/>
      <c r="K238" s="8"/>
    </row>
    <row r="239" spans="1:11" ht="123.95" hidden="1">
      <c r="A239" s="4">
        <v>23</v>
      </c>
      <c r="B239" s="4" t="s">
        <v>564</v>
      </c>
      <c r="C239" s="4" t="s">
        <v>702</v>
      </c>
      <c r="D239" s="5" t="s">
        <v>703</v>
      </c>
      <c r="E239" s="5" t="s">
        <v>61</v>
      </c>
      <c r="F239" s="4" t="s">
        <v>29</v>
      </c>
      <c r="G239" s="5" t="s">
        <v>56</v>
      </c>
      <c r="H239" s="12"/>
      <c r="I239" s="15"/>
      <c r="J239" s="8"/>
      <c r="K239" s="8"/>
    </row>
    <row r="240" spans="1:11" ht="93" hidden="1">
      <c r="A240" s="4">
        <v>23</v>
      </c>
      <c r="B240" s="4" t="s">
        <v>564</v>
      </c>
      <c r="C240" s="4" t="s">
        <v>704</v>
      </c>
      <c r="D240" s="5" t="s">
        <v>705</v>
      </c>
      <c r="E240" s="5" t="s">
        <v>61</v>
      </c>
      <c r="F240" s="4" t="s">
        <v>29</v>
      </c>
      <c r="G240" s="5" t="s">
        <v>56</v>
      </c>
      <c r="H240" s="12"/>
      <c r="I240" s="15"/>
      <c r="J240" s="8"/>
      <c r="K240" s="8"/>
    </row>
    <row r="241" spans="1:11" ht="232.5">
      <c r="A241" s="6">
        <v>23</v>
      </c>
      <c r="B241" s="6" t="s">
        <v>564</v>
      </c>
      <c r="C241" s="6" t="s">
        <v>706</v>
      </c>
      <c r="D241" s="15" t="s">
        <v>707</v>
      </c>
      <c r="E241" s="15" t="s">
        <v>39</v>
      </c>
      <c r="F241" s="6" t="s">
        <v>21</v>
      </c>
      <c r="G241" s="15" t="s">
        <v>708</v>
      </c>
      <c r="H241" s="12"/>
      <c r="I241" s="15"/>
      <c r="J241" s="8"/>
      <c r="K241" s="8"/>
    </row>
    <row r="242" spans="1:11" ht="30.95">
      <c r="A242" s="6">
        <v>23</v>
      </c>
      <c r="B242" s="6" t="s">
        <v>564</v>
      </c>
      <c r="C242" s="6" t="s">
        <v>710</v>
      </c>
      <c r="D242" s="15" t="s">
        <v>711</v>
      </c>
      <c r="E242" s="15" t="s">
        <v>425</v>
      </c>
      <c r="F242" s="6" t="s">
        <v>21</v>
      </c>
      <c r="G242" s="15" t="s">
        <v>712</v>
      </c>
      <c r="H242" s="12"/>
      <c r="I242" s="15"/>
      <c r="J242" s="8"/>
      <c r="K242" s="8"/>
    </row>
    <row r="243" spans="1:11" ht="279" hidden="1">
      <c r="A243" s="4">
        <v>23</v>
      </c>
      <c r="B243" s="4" t="s">
        <v>564</v>
      </c>
      <c r="C243" s="4" t="s">
        <v>713</v>
      </c>
      <c r="D243" s="5" t="s">
        <v>714</v>
      </c>
      <c r="E243" s="5" t="s">
        <v>425</v>
      </c>
      <c r="F243" s="4" t="s">
        <v>29</v>
      </c>
      <c r="G243" s="5" t="s">
        <v>715</v>
      </c>
      <c r="H243" s="12"/>
      <c r="I243" s="15"/>
      <c r="J243" s="8"/>
      <c r="K243" s="8"/>
    </row>
    <row r="244" spans="1:11" ht="325.5" hidden="1">
      <c r="A244" s="4">
        <v>23</v>
      </c>
      <c r="B244" s="4" t="s">
        <v>564</v>
      </c>
      <c r="C244" s="4" t="s">
        <v>716</v>
      </c>
      <c r="D244" s="5" t="s">
        <v>717</v>
      </c>
      <c r="E244" s="5" t="s">
        <v>425</v>
      </c>
      <c r="F244" s="4" t="s">
        <v>29</v>
      </c>
      <c r="G244" s="5" t="s">
        <v>718</v>
      </c>
      <c r="H244" s="12"/>
      <c r="I244" s="15"/>
      <c r="J244" s="8"/>
      <c r="K244" s="8"/>
    </row>
    <row r="245" spans="1:11" ht="279" hidden="1">
      <c r="A245" s="4">
        <v>23</v>
      </c>
      <c r="B245" s="4" t="s">
        <v>564</v>
      </c>
      <c r="C245" s="4" t="s">
        <v>719</v>
      </c>
      <c r="D245" s="5" t="s">
        <v>720</v>
      </c>
      <c r="E245" s="5" t="s">
        <v>425</v>
      </c>
      <c r="F245" s="4" t="s">
        <v>29</v>
      </c>
      <c r="G245" s="5" t="s">
        <v>715</v>
      </c>
      <c r="H245" s="12"/>
      <c r="I245" s="15"/>
      <c r="J245" s="8"/>
      <c r="K245" s="8"/>
    </row>
    <row r="246" spans="1:11" ht="279" hidden="1">
      <c r="A246" s="4">
        <v>23</v>
      </c>
      <c r="B246" s="4" t="s">
        <v>564</v>
      </c>
      <c r="C246" s="4" t="s">
        <v>721</v>
      </c>
      <c r="D246" s="5" t="s">
        <v>722</v>
      </c>
      <c r="E246" s="5" t="s">
        <v>425</v>
      </c>
      <c r="F246" s="4" t="s">
        <v>29</v>
      </c>
      <c r="G246" s="5" t="s">
        <v>715</v>
      </c>
      <c r="H246" s="12"/>
      <c r="I246" s="15"/>
      <c r="J246" s="8"/>
      <c r="K246" s="8"/>
    </row>
    <row r="247" spans="1:11" ht="279" hidden="1">
      <c r="A247" s="4">
        <v>23</v>
      </c>
      <c r="B247" s="4" t="s">
        <v>564</v>
      </c>
      <c r="C247" s="4" t="s">
        <v>723</v>
      </c>
      <c r="D247" s="5" t="s">
        <v>724</v>
      </c>
      <c r="E247" s="5" t="s">
        <v>425</v>
      </c>
      <c r="F247" s="4" t="s">
        <v>29</v>
      </c>
      <c r="G247" s="5" t="s">
        <v>715</v>
      </c>
      <c r="H247" s="12"/>
      <c r="I247" s="15"/>
      <c r="J247" s="8"/>
      <c r="K247" s="8"/>
    </row>
    <row r="248" spans="1:11" ht="279" hidden="1">
      <c r="A248" s="4">
        <v>23</v>
      </c>
      <c r="B248" s="4" t="s">
        <v>564</v>
      </c>
      <c r="C248" s="4" t="s">
        <v>725</v>
      </c>
      <c r="D248" s="5" t="s">
        <v>726</v>
      </c>
      <c r="E248" s="5" t="s">
        <v>425</v>
      </c>
      <c r="F248" s="4" t="s">
        <v>29</v>
      </c>
      <c r="G248" s="5" t="s">
        <v>715</v>
      </c>
      <c r="H248" s="12"/>
      <c r="I248" s="15"/>
      <c r="J248" s="8"/>
      <c r="K248" s="8"/>
    </row>
    <row r="249" spans="1:11" ht="279" hidden="1">
      <c r="A249" s="4">
        <v>23</v>
      </c>
      <c r="B249" s="4" t="s">
        <v>564</v>
      </c>
      <c r="C249" s="4" t="s">
        <v>727</v>
      </c>
      <c r="D249" s="5" t="s">
        <v>728</v>
      </c>
      <c r="E249" s="5" t="s">
        <v>425</v>
      </c>
      <c r="F249" s="4" t="s">
        <v>29</v>
      </c>
      <c r="G249" s="5" t="s">
        <v>715</v>
      </c>
      <c r="H249" s="12"/>
      <c r="I249" s="15"/>
      <c r="J249" s="8"/>
      <c r="K249" s="8"/>
    </row>
    <row r="250" spans="1:11" ht="279" hidden="1">
      <c r="A250" s="4">
        <v>23</v>
      </c>
      <c r="B250" s="4" t="s">
        <v>564</v>
      </c>
      <c r="C250" s="4" t="s">
        <v>729</v>
      </c>
      <c r="D250" s="5" t="s">
        <v>730</v>
      </c>
      <c r="E250" s="5" t="s">
        <v>425</v>
      </c>
      <c r="F250" s="4" t="s">
        <v>29</v>
      </c>
      <c r="G250" s="5" t="s">
        <v>715</v>
      </c>
      <c r="H250" s="12"/>
      <c r="I250" s="15"/>
      <c r="J250" s="8"/>
      <c r="K250" s="8"/>
    </row>
    <row r="251" spans="1:11" ht="279" hidden="1">
      <c r="A251" s="4">
        <v>23</v>
      </c>
      <c r="B251" s="4" t="s">
        <v>564</v>
      </c>
      <c r="C251" s="4" t="s">
        <v>731</v>
      </c>
      <c r="D251" s="5" t="s">
        <v>732</v>
      </c>
      <c r="E251" s="5" t="s">
        <v>425</v>
      </c>
      <c r="F251" s="4" t="s">
        <v>29</v>
      </c>
      <c r="G251" s="5" t="s">
        <v>715</v>
      </c>
      <c r="H251" s="12"/>
      <c r="I251" s="15"/>
      <c r="J251" s="8"/>
      <c r="K251" s="8"/>
    </row>
    <row r="252" spans="1:11" ht="279" hidden="1">
      <c r="A252" s="4">
        <v>23</v>
      </c>
      <c r="B252" s="4" t="s">
        <v>564</v>
      </c>
      <c r="C252" s="4" t="s">
        <v>733</v>
      </c>
      <c r="D252" s="5" t="s">
        <v>734</v>
      </c>
      <c r="E252" s="5" t="s">
        <v>425</v>
      </c>
      <c r="F252" s="4" t="s">
        <v>29</v>
      </c>
      <c r="G252" s="5" t="s">
        <v>715</v>
      </c>
      <c r="H252" s="12"/>
      <c r="I252" s="15"/>
      <c r="J252" s="8"/>
      <c r="K252" s="8"/>
    </row>
    <row r="253" spans="1:11" ht="279" hidden="1">
      <c r="A253" s="4">
        <v>23</v>
      </c>
      <c r="B253" s="4" t="s">
        <v>564</v>
      </c>
      <c r="C253" s="4" t="s">
        <v>735</v>
      </c>
      <c r="D253" s="5" t="s">
        <v>736</v>
      </c>
      <c r="E253" s="5" t="s">
        <v>425</v>
      </c>
      <c r="F253" s="4" t="s">
        <v>29</v>
      </c>
      <c r="G253" s="5" t="s">
        <v>715</v>
      </c>
      <c r="H253" s="12"/>
      <c r="I253" s="15"/>
      <c r="J253" s="8"/>
      <c r="K253" s="8"/>
    </row>
    <row r="254" spans="1:11" ht="279" hidden="1">
      <c r="A254" s="4">
        <v>23</v>
      </c>
      <c r="B254" s="4" t="s">
        <v>564</v>
      </c>
      <c r="C254" s="4" t="s">
        <v>737</v>
      </c>
      <c r="D254" s="5" t="s">
        <v>738</v>
      </c>
      <c r="E254" s="5" t="s">
        <v>425</v>
      </c>
      <c r="F254" s="4" t="s">
        <v>29</v>
      </c>
      <c r="G254" s="5" t="s">
        <v>715</v>
      </c>
      <c r="H254" s="12"/>
      <c r="I254" s="15"/>
      <c r="J254" s="8"/>
      <c r="K254" s="8"/>
    </row>
    <row r="255" spans="1:11" ht="279" hidden="1">
      <c r="A255" s="4">
        <v>23</v>
      </c>
      <c r="B255" s="4" t="s">
        <v>564</v>
      </c>
      <c r="C255" s="4" t="s">
        <v>739</v>
      </c>
      <c r="D255" s="5" t="s">
        <v>740</v>
      </c>
      <c r="E255" s="5" t="s">
        <v>425</v>
      </c>
      <c r="F255" s="4" t="s">
        <v>29</v>
      </c>
      <c r="G255" s="5" t="s">
        <v>715</v>
      </c>
      <c r="H255" s="12"/>
      <c r="I255" s="15"/>
      <c r="J255" s="8"/>
      <c r="K255" s="8"/>
    </row>
    <row r="256" spans="1:11" ht="279" hidden="1">
      <c r="A256" s="4">
        <v>23</v>
      </c>
      <c r="B256" s="4" t="s">
        <v>564</v>
      </c>
      <c r="C256" s="4" t="s">
        <v>741</v>
      </c>
      <c r="D256" s="5" t="s">
        <v>742</v>
      </c>
      <c r="E256" s="5" t="s">
        <v>425</v>
      </c>
      <c r="F256" s="4" t="s">
        <v>29</v>
      </c>
      <c r="G256" s="5" t="s">
        <v>715</v>
      </c>
      <c r="H256" s="12"/>
      <c r="I256" s="15"/>
      <c r="J256" s="8"/>
      <c r="K256" s="8"/>
    </row>
    <row r="257" spans="1:11" ht="279" hidden="1">
      <c r="A257" s="4">
        <v>24</v>
      </c>
      <c r="B257" s="4" t="s">
        <v>564</v>
      </c>
      <c r="C257" s="4" t="s">
        <v>743</v>
      </c>
      <c r="D257" s="5" t="s">
        <v>744</v>
      </c>
      <c r="E257" s="5" t="s">
        <v>425</v>
      </c>
      <c r="F257" s="4" t="s">
        <v>29</v>
      </c>
      <c r="G257" s="5" t="s">
        <v>715</v>
      </c>
      <c r="H257" s="12"/>
      <c r="I257" s="15"/>
      <c r="J257" s="8"/>
      <c r="K257" s="8"/>
    </row>
    <row r="258" spans="1:11" ht="279" hidden="1">
      <c r="A258" s="4">
        <v>24</v>
      </c>
      <c r="B258" s="4" t="s">
        <v>564</v>
      </c>
      <c r="C258" s="4" t="s">
        <v>745</v>
      </c>
      <c r="D258" s="5" t="s">
        <v>746</v>
      </c>
      <c r="E258" s="5" t="s">
        <v>425</v>
      </c>
      <c r="F258" s="4" t="s">
        <v>29</v>
      </c>
      <c r="G258" s="5" t="s">
        <v>715</v>
      </c>
      <c r="H258" s="12"/>
      <c r="I258" s="15"/>
      <c r="J258" s="8"/>
      <c r="K258" s="8"/>
    </row>
    <row r="259" spans="1:11" ht="216.95" hidden="1">
      <c r="A259" s="4">
        <v>24</v>
      </c>
      <c r="B259" s="4" t="s">
        <v>564</v>
      </c>
      <c r="C259" s="4" t="s">
        <v>747</v>
      </c>
      <c r="D259" s="5" t="s">
        <v>748</v>
      </c>
      <c r="E259" s="5" t="s">
        <v>425</v>
      </c>
      <c r="F259" s="4" t="s">
        <v>29</v>
      </c>
      <c r="G259" s="5" t="s">
        <v>749</v>
      </c>
      <c r="H259" s="12"/>
      <c r="I259" s="15"/>
      <c r="J259" s="8"/>
      <c r="K259" s="8"/>
    </row>
    <row r="260" spans="1:11" ht="263.45" hidden="1">
      <c r="A260" s="4">
        <v>24</v>
      </c>
      <c r="B260" s="4" t="s">
        <v>564</v>
      </c>
      <c r="C260" s="4" t="s">
        <v>750</v>
      </c>
      <c r="D260" s="5" t="s">
        <v>751</v>
      </c>
      <c r="E260" s="5" t="s">
        <v>425</v>
      </c>
      <c r="F260" s="4" t="s">
        <v>29</v>
      </c>
      <c r="G260" s="5" t="s">
        <v>752</v>
      </c>
      <c r="H260" s="12"/>
      <c r="I260" s="15"/>
      <c r="J260" s="8"/>
      <c r="K260" s="8"/>
    </row>
    <row r="261" spans="1:11" ht="232.5">
      <c r="A261" s="6">
        <v>24</v>
      </c>
      <c r="B261" s="6" t="s">
        <v>564</v>
      </c>
      <c r="C261" s="6" t="s">
        <v>753</v>
      </c>
      <c r="D261" s="15" t="s">
        <v>754</v>
      </c>
      <c r="E261" s="15" t="s">
        <v>39</v>
      </c>
      <c r="F261" s="6" t="s">
        <v>21</v>
      </c>
      <c r="G261" s="15" t="s">
        <v>708</v>
      </c>
      <c r="H261" s="12"/>
      <c r="I261" s="15"/>
      <c r="J261" s="8"/>
      <c r="K261" s="8"/>
    </row>
    <row r="262" spans="1:11" ht="30.95" hidden="1">
      <c r="A262" s="4">
        <v>24</v>
      </c>
      <c r="B262" s="4" t="s">
        <v>564</v>
      </c>
      <c r="C262" s="4" t="s">
        <v>565</v>
      </c>
      <c r="D262" s="5" t="s">
        <v>755</v>
      </c>
      <c r="E262" s="5" t="s">
        <v>425</v>
      </c>
      <c r="F262" s="6" t="s">
        <v>29</v>
      </c>
      <c r="G262" s="5" t="s">
        <v>756</v>
      </c>
      <c r="H262" s="12"/>
      <c r="I262" s="15"/>
      <c r="J262" s="8"/>
      <c r="K262" s="8"/>
    </row>
    <row r="263" spans="1:11" ht="201.6" hidden="1">
      <c r="A263" s="4">
        <v>24</v>
      </c>
      <c r="B263" s="4" t="s">
        <v>564</v>
      </c>
      <c r="C263" s="4" t="s">
        <v>757</v>
      </c>
      <c r="D263" s="5" t="s">
        <v>758</v>
      </c>
      <c r="E263" s="5" t="s">
        <v>425</v>
      </c>
      <c r="F263" s="6" t="s">
        <v>29</v>
      </c>
      <c r="G263" s="5" t="s">
        <v>759</v>
      </c>
      <c r="H263" s="12"/>
      <c r="I263" s="15"/>
      <c r="J263" s="8"/>
      <c r="K263" s="8"/>
    </row>
    <row r="264" spans="1:11" ht="201.6" hidden="1">
      <c r="A264" s="4">
        <v>24</v>
      </c>
      <c r="B264" s="4" t="s">
        <v>564</v>
      </c>
      <c r="C264" s="4" t="s">
        <v>757</v>
      </c>
      <c r="D264" s="5" t="s">
        <v>760</v>
      </c>
      <c r="E264" s="5" t="s">
        <v>425</v>
      </c>
      <c r="F264" s="6" t="s">
        <v>29</v>
      </c>
      <c r="G264" s="5" t="s">
        <v>759</v>
      </c>
      <c r="H264" s="12"/>
      <c r="I264" s="15"/>
      <c r="J264" s="8"/>
      <c r="K264" s="8"/>
    </row>
    <row r="265" spans="1:11" ht="201.6" hidden="1">
      <c r="A265" s="4">
        <v>24</v>
      </c>
      <c r="B265" s="4" t="s">
        <v>564</v>
      </c>
      <c r="C265" s="4" t="s">
        <v>761</v>
      </c>
      <c r="D265" s="5" t="s">
        <v>762</v>
      </c>
      <c r="E265" s="5" t="s">
        <v>425</v>
      </c>
      <c r="F265" s="6" t="s">
        <v>29</v>
      </c>
      <c r="G265" s="5" t="s">
        <v>759</v>
      </c>
      <c r="H265" s="12"/>
      <c r="I265" s="15"/>
      <c r="J265" s="8"/>
      <c r="K265" s="8"/>
    </row>
    <row r="266" spans="1:11" ht="30.95" hidden="1">
      <c r="A266" s="4">
        <v>24</v>
      </c>
      <c r="B266" s="4" t="s">
        <v>564</v>
      </c>
      <c r="C266" s="4" t="s">
        <v>569</v>
      </c>
      <c r="D266" s="5" t="s">
        <v>763</v>
      </c>
      <c r="E266" s="5" t="s">
        <v>39</v>
      </c>
      <c r="F266" s="6" t="s">
        <v>29</v>
      </c>
      <c r="G266" s="5" t="s">
        <v>764</v>
      </c>
      <c r="H266" s="12"/>
      <c r="I266" s="15"/>
      <c r="J266" s="8"/>
      <c r="K266" s="8"/>
    </row>
    <row r="267" spans="1:11" ht="216.95" hidden="1">
      <c r="A267" s="4">
        <v>24</v>
      </c>
      <c r="B267" s="4" t="s">
        <v>564</v>
      </c>
      <c r="C267" s="4" t="s">
        <v>765</v>
      </c>
      <c r="D267" s="5" t="s">
        <v>766</v>
      </c>
      <c r="E267" s="5" t="s">
        <v>39</v>
      </c>
      <c r="F267" s="6" t="s">
        <v>29</v>
      </c>
      <c r="G267" s="5" t="s">
        <v>56</v>
      </c>
      <c r="H267" s="12"/>
      <c r="I267" s="15"/>
      <c r="J267" s="8"/>
      <c r="K267" s="8"/>
    </row>
    <row r="268" spans="1:11" ht="123.95" hidden="1">
      <c r="A268" s="4">
        <v>24</v>
      </c>
      <c r="B268" s="4" t="s">
        <v>564</v>
      </c>
      <c r="C268" s="4" t="s">
        <v>767</v>
      </c>
      <c r="D268" s="5" t="s">
        <v>768</v>
      </c>
      <c r="E268" s="5" t="s">
        <v>39</v>
      </c>
      <c r="F268" s="6" t="s">
        <v>29</v>
      </c>
      <c r="G268" s="5" t="s">
        <v>769</v>
      </c>
      <c r="H268" s="12"/>
      <c r="I268" s="15"/>
      <c r="J268" s="8"/>
      <c r="K268" s="8"/>
    </row>
    <row r="269" spans="1:11" ht="155.1" hidden="1">
      <c r="A269" s="4">
        <v>24</v>
      </c>
      <c r="B269" s="4" t="s">
        <v>564</v>
      </c>
      <c r="C269" s="4" t="s">
        <v>770</v>
      </c>
      <c r="D269" s="5" t="s">
        <v>771</v>
      </c>
      <c r="E269" s="5" t="s">
        <v>39</v>
      </c>
      <c r="F269" s="6" t="s">
        <v>29</v>
      </c>
      <c r="G269" s="5" t="s">
        <v>769</v>
      </c>
      <c r="H269" s="12"/>
      <c r="I269" s="15"/>
      <c r="J269" s="8"/>
      <c r="K269" s="8"/>
    </row>
    <row r="270" spans="1:11" ht="108.6" hidden="1">
      <c r="A270" s="4">
        <v>24</v>
      </c>
      <c r="B270" s="4" t="s">
        <v>564</v>
      </c>
      <c r="C270" s="4" t="s">
        <v>772</v>
      </c>
      <c r="D270" s="5" t="s">
        <v>773</v>
      </c>
      <c r="E270" s="5" t="s">
        <v>39</v>
      </c>
      <c r="F270" s="6" t="s">
        <v>29</v>
      </c>
      <c r="G270" s="5" t="s">
        <v>769</v>
      </c>
      <c r="H270" s="12"/>
      <c r="I270" s="15"/>
      <c r="J270" s="8"/>
      <c r="K270" s="8"/>
    </row>
    <row r="271" spans="1:11" ht="77.45" hidden="1">
      <c r="A271" s="4">
        <v>24</v>
      </c>
      <c r="B271" s="4" t="s">
        <v>564</v>
      </c>
      <c r="C271" s="4" t="s">
        <v>774</v>
      </c>
      <c r="D271" s="5" t="s">
        <v>775</v>
      </c>
      <c r="E271" s="5" t="s">
        <v>39</v>
      </c>
      <c r="F271" s="6" t="s">
        <v>29</v>
      </c>
      <c r="G271" s="5" t="s">
        <v>769</v>
      </c>
      <c r="H271" s="12"/>
      <c r="I271" s="15"/>
      <c r="J271" s="8"/>
      <c r="K271" s="8"/>
    </row>
    <row r="272" spans="1:11" ht="108.6" hidden="1">
      <c r="A272" s="4">
        <v>25</v>
      </c>
      <c r="B272" s="4" t="s">
        <v>564</v>
      </c>
      <c r="C272" s="4" t="s">
        <v>776</v>
      </c>
      <c r="D272" s="5" t="s">
        <v>777</v>
      </c>
      <c r="E272" s="5" t="s">
        <v>39</v>
      </c>
      <c r="F272" s="6" t="s">
        <v>29</v>
      </c>
      <c r="G272" s="5" t="s">
        <v>769</v>
      </c>
      <c r="H272" s="12"/>
      <c r="I272" s="15"/>
      <c r="J272" s="8"/>
      <c r="K272" s="8"/>
    </row>
    <row r="273" spans="1:11" ht="77.45" hidden="1">
      <c r="A273" s="4">
        <v>25</v>
      </c>
      <c r="B273" s="4" t="s">
        <v>564</v>
      </c>
      <c r="C273" s="4" t="s">
        <v>778</v>
      </c>
      <c r="D273" s="5" t="s">
        <v>779</v>
      </c>
      <c r="E273" s="5" t="s">
        <v>39</v>
      </c>
      <c r="F273" s="6" t="s">
        <v>29</v>
      </c>
      <c r="G273" s="5" t="s">
        <v>769</v>
      </c>
      <c r="H273" s="12"/>
      <c r="I273" s="15"/>
      <c r="J273" s="8"/>
      <c r="K273" s="8"/>
    </row>
    <row r="274" spans="1:11" ht="77.45" hidden="1">
      <c r="A274" s="4">
        <v>25</v>
      </c>
      <c r="B274" s="4" t="s">
        <v>564</v>
      </c>
      <c r="C274" s="4" t="s">
        <v>780</v>
      </c>
      <c r="D274" s="5" t="s">
        <v>781</v>
      </c>
      <c r="E274" s="5" t="s">
        <v>39</v>
      </c>
      <c r="F274" s="6" t="s">
        <v>29</v>
      </c>
      <c r="G274" s="5" t="s">
        <v>769</v>
      </c>
      <c r="H274" s="12"/>
      <c r="I274" s="15"/>
      <c r="J274" s="8"/>
      <c r="K274" s="8"/>
    </row>
    <row r="275" spans="1:11" ht="93" hidden="1">
      <c r="A275" s="4">
        <v>25</v>
      </c>
      <c r="B275" s="4" t="s">
        <v>564</v>
      </c>
      <c r="C275" s="4" t="s">
        <v>782</v>
      </c>
      <c r="D275" s="5" t="s">
        <v>783</v>
      </c>
      <c r="E275" s="5" t="s">
        <v>39</v>
      </c>
      <c r="F275" s="6" t="s">
        <v>29</v>
      </c>
      <c r="G275" s="5" t="s">
        <v>56</v>
      </c>
      <c r="H275" s="12"/>
      <c r="I275" s="15"/>
      <c r="J275" s="8"/>
      <c r="K275" s="8"/>
    </row>
    <row r="276" spans="1:11" ht="30.95">
      <c r="A276" s="6">
        <v>25</v>
      </c>
      <c r="B276" s="6" t="s">
        <v>564</v>
      </c>
      <c r="C276" s="6" t="s">
        <v>575</v>
      </c>
      <c r="D276" s="15" t="s">
        <v>784</v>
      </c>
      <c r="E276" s="15" t="s">
        <v>61</v>
      </c>
      <c r="F276" s="6" t="s">
        <v>557</v>
      </c>
      <c r="G276" s="15" t="s">
        <v>785</v>
      </c>
      <c r="H276" s="12"/>
      <c r="I276" s="15"/>
      <c r="J276" s="8"/>
      <c r="K276" s="8"/>
    </row>
    <row r="277" spans="1:11" ht="123.95">
      <c r="A277" s="6">
        <v>25</v>
      </c>
      <c r="B277" s="6" t="s">
        <v>564</v>
      </c>
      <c r="C277" s="6" t="s">
        <v>82</v>
      </c>
      <c r="D277" s="15" t="s">
        <v>786</v>
      </c>
      <c r="E277" s="15" t="s">
        <v>61</v>
      </c>
      <c r="F277" s="6" t="s">
        <v>116</v>
      </c>
      <c r="G277" s="15" t="s">
        <v>787</v>
      </c>
      <c r="H277" s="12"/>
      <c r="I277" s="15"/>
      <c r="J277" s="8"/>
      <c r="K277" s="8"/>
    </row>
    <row r="278" spans="1:11" ht="123.95" hidden="1">
      <c r="A278" s="4">
        <v>25</v>
      </c>
      <c r="B278" s="4" t="s">
        <v>564</v>
      </c>
      <c r="C278" s="4" t="s">
        <v>788</v>
      </c>
      <c r="D278" s="5" t="s">
        <v>789</v>
      </c>
      <c r="E278" s="5" t="s">
        <v>61</v>
      </c>
      <c r="F278" s="6" t="s">
        <v>29</v>
      </c>
      <c r="G278" s="5" t="s">
        <v>56</v>
      </c>
      <c r="H278" s="12"/>
      <c r="I278" s="15"/>
      <c r="J278" s="8"/>
      <c r="K278" s="8"/>
    </row>
    <row r="279" spans="1:11" ht="108.6" hidden="1">
      <c r="A279" s="4">
        <v>25</v>
      </c>
      <c r="B279" s="4" t="s">
        <v>564</v>
      </c>
      <c r="C279" s="4" t="s">
        <v>87</v>
      </c>
      <c r="D279" s="5" t="s">
        <v>790</v>
      </c>
      <c r="E279" s="5" t="s">
        <v>61</v>
      </c>
      <c r="F279" s="6" t="s">
        <v>29</v>
      </c>
      <c r="G279" s="5" t="s">
        <v>56</v>
      </c>
      <c r="H279" s="12"/>
      <c r="I279" s="15"/>
      <c r="J279" s="8"/>
      <c r="K279" s="8"/>
    </row>
    <row r="280" spans="1:11" ht="186" hidden="1">
      <c r="A280" s="4">
        <v>25</v>
      </c>
      <c r="B280" s="4" t="s">
        <v>564</v>
      </c>
      <c r="C280" s="4" t="s">
        <v>98</v>
      </c>
      <c r="D280" s="5" t="s">
        <v>791</v>
      </c>
      <c r="E280" s="5" t="s">
        <v>61</v>
      </c>
      <c r="F280" s="6" t="s">
        <v>29</v>
      </c>
      <c r="G280" s="5" t="s">
        <v>56</v>
      </c>
      <c r="H280" s="12"/>
      <c r="I280" s="15"/>
      <c r="J280" s="8"/>
      <c r="K280" s="8"/>
    </row>
    <row r="281" spans="1:11" ht="30.95">
      <c r="A281" s="6">
        <v>25</v>
      </c>
      <c r="B281" s="6" t="s">
        <v>564</v>
      </c>
      <c r="C281" s="6" t="s">
        <v>577</v>
      </c>
      <c r="D281" s="15" t="s">
        <v>792</v>
      </c>
      <c r="E281" s="15" t="s">
        <v>425</v>
      </c>
      <c r="F281" s="6" t="s">
        <v>557</v>
      </c>
      <c r="G281" s="15" t="s">
        <v>793</v>
      </c>
      <c r="H281" s="12"/>
      <c r="I281" s="15"/>
      <c r="J281" s="8"/>
      <c r="K281" s="8"/>
    </row>
    <row r="282" spans="1:11" ht="186" hidden="1">
      <c r="A282" s="4">
        <v>25</v>
      </c>
      <c r="B282" s="4" t="s">
        <v>564</v>
      </c>
      <c r="C282" s="4" t="s">
        <v>114</v>
      </c>
      <c r="D282" s="5" t="s">
        <v>795</v>
      </c>
      <c r="E282" s="5" t="s">
        <v>61</v>
      </c>
      <c r="F282" s="6" t="s">
        <v>29</v>
      </c>
      <c r="G282" s="5" t="s">
        <v>796</v>
      </c>
      <c r="H282" s="12"/>
      <c r="I282" s="15"/>
      <c r="J282" s="8"/>
      <c r="K282" s="8"/>
    </row>
    <row r="283" spans="1:11" ht="93" hidden="1">
      <c r="A283" s="4">
        <v>25</v>
      </c>
      <c r="B283" s="4" t="s">
        <v>564</v>
      </c>
      <c r="C283" s="4" t="s">
        <v>798</v>
      </c>
      <c r="D283" s="5" t="s">
        <v>799</v>
      </c>
      <c r="E283" s="5" t="s">
        <v>39</v>
      </c>
      <c r="F283" s="6" t="s">
        <v>29</v>
      </c>
      <c r="G283" s="5" t="s">
        <v>800</v>
      </c>
      <c r="H283" s="12"/>
      <c r="I283" s="15"/>
      <c r="J283" s="8"/>
      <c r="K283" s="8"/>
    </row>
    <row r="284" spans="1:11" ht="123.95" hidden="1">
      <c r="A284" s="4">
        <v>25</v>
      </c>
      <c r="B284" s="4" t="s">
        <v>564</v>
      </c>
      <c r="C284" s="4" t="s">
        <v>146</v>
      </c>
      <c r="D284" s="5" t="s">
        <v>801</v>
      </c>
      <c r="E284" s="5" t="s">
        <v>39</v>
      </c>
      <c r="F284" s="6" t="s">
        <v>29</v>
      </c>
      <c r="G284" s="5" t="s">
        <v>56</v>
      </c>
      <c r="H284" s="12"/>
      <c r="I284" s="15"/>
      <c r="J284" s="8"/>
      <c r="K284" s="8"/>
    </row>
    <row r="285" spans="1:11" ht="93" hidden="1">
      <c r="A285" s="4">
        <v>25</v>
      </c>
      <c r="B285" s="4" t="s">
        <v>564</v>
      </c>
      <c r="C285" s="4" t="s">
        <v>158</v>
      </c>
      <c r="D285" s="5" t="s">
        <v>802</v>
      </c>
      <c r="E285" s="5" t="s">
        <v>39</v>
      </c>
      <c r="F285" s="6" t="s">
        <v>29</v>
      </c>
      <c r="G285" s="5" t="s">
        <v>56</v>
      </c>
      <c r="H285" s="12"/>
      <c r="I285" s="15"/>
      <c r="J285" s="8"/>
      <c r="K285" s="8"/>
    </row>
    <row r="286" spans="1:11" ht="170.45">
      <c r="A286" s="6">
        <v>25</v>
      </c>
      <c r="B286" s="6" t="s">
        <v>564</v>
      </c>
      <c r="C286" s="6" t="s">
        <v>803</v>
      </c>
      <c r="D286" s="15" t="s">
        <v>804</v>
      </c>
      <c r="E286" s="15" t="s">
        <v>425</v>
      </c>
      <c r="F286" s="6" t="s">
        <v>116</v>
      </c>
      <c r="G286" s="15" t="s">
        <v>805</v>
      </c>
      <c r="H286" s="12"/>
      <c r="I286" s="15"/>
      <c r="J286" s="8"/>
      <c r="K286" s="8"/>
    </row>
    <row r="287" spans="1:11" ht="139.5">
      <c r="A287" s="6">
        <v>26</v>
      </c>
      <c r="B287" s="6" t="s">
        <v>564</v>
      </c>
      <c r="C287" s="6" t="s">
        <v>808</v>
      </c>
      <c r="D287" s="15" t="s">
        <v>809</v>
      </c>
      <c r="E287" s="15" t="s">
        <v>425</v>
      </c>
      <c r="F287" s="6" t="s">
        <v>116</v>
      </c>
      <c r="G287" s="15" t="s">
        <v>805</v>
      </c>
      <c r="H287" s="12"/>
      <c r="I287" s="15"/>
      <c r="J287" s="8"/>
      <c r="K287" s="8"/>
    </row>
    <row r="288" spans="1:11" ht="170.45" hidden="1">
      <c r="A288" s="4">
        <v>26</v>
      </c>
      <c r="B288" s="4" t="s">
        <v>564</v>
      </c>
      <c r="C288" s="4" t="s">
        <v>810</v>
      </c>
      <c r="D288" s="5" t="s">
        <v>811</v>
      </c>
      <c r="E288" s="5" t="s">
        <v>425</v>
      </c>
      <c r="F288" s="6" t="s">
        <v>29</v>
      </c>
      <c r="G288" s="5" t="s">
        <v>56</v>
      </c>
      <c r="H288" s="12"/>
      <c r="I288" s="15"/>
      <c r="J288" s="8"/>
      <c r="K288" s="8"/>
    </row>
    <row r="289" spans="1:11" ht="155.1" hidden="1">
      <c r="A289" s="4">
        <v>26</v>
      </c>
      <c r="B289" s="4" t="s">
        <v>564</v>
      </c>
      <c r="C289" s="4" t="s">
        <v>812</v>
      </c>
      <c r="D289" s="5" t="s">
        <v>813</v>
      </c>
      <c r="E289" s="5" t="s">
        <v>425</v>
      </c>
      <c r="F289" s="6" t="s">
        <v>29</v>
      </c>
      <c r="G289" s="5" t="s">
        <v>56</v>
      </c>
      <c r="H289" s="12"/>
      <c r="I289" s="15"/>
      <c r="J289" s="8"/>
      <c r="K289" s="8"/>
    </row>
    <row r="290" spans="1:11" ht="201.6">
      <c r="A290" s="6">
        <v>26</v>
      </c>
      <c r="B290" s="6" t="s">
        <v>564</v>
      </c>
      <c r="C290" s="6" t="s">
        <v>814</v>
      </c>
      <c r="D290" s="15" t="s">
        <v>815</v>
      </c>
      <c r="E290" s="15" t="s">
        <v>425</v>
      </c>
      <c r="F290" s="6" t="s">
        <v>557</v>
      </c>
      <c r="G290" s="15" t="s">
        <v>601</v>
      </c>
      <c r="H290" s="12"/>
      <c r="I290" s="15"/>
      <c r="J290" s="8"/>
      <c r="K290" s="8"/>
    </row>
    <row r="291" spans="1:11" ht="186" hidden="1">
      <c r="A291" s="4">
        <v>26</v>
      </c>
      <c r="B291" s="4" t="s">
        <v>564</v>
      </c>
      <c r="C291" s="4" t="s">
        <v>817</v>
      </c>
      <c r="D291" s="5" t="s">
        <v>818</v>
      </c>
      <c r="E291" s="5" t="s">
        <v>61</v>
      </c>
      <c r="F291" s="6" t="s">
        <v>29</v>
      </c>
      <c r="G291" s="5" t="s">
        <v>56</v>
      </c>
      <c r="H291" s="12"/>
      <c r="I291" s="15"/>
      <c r="J291" s="8"/>
      <c r="K291" s="8"/>
    </row>
    <row r="292" spans="1:11" ht="248.1" hidden="1">
      <c r="A292" s="4">
        <v>26</v>
      </c>
      <c r="B292" s="4" t="s">
        <v>564</v>
      </c>
      <c r="C292" s="4" t="s">
        <v>160</v>
      </c>
      <c r="D292" s="5" t="s">
        <v>819</v>
      </c>
      <c r="E292" s="5" t="s">
        <v>425</v>
      </c>
      <c r="F292" s="6" t="s">
        <v>29</v>
      </c>
      <c r="G292" s="5" t="s">
        <v>820</v>
      </c>
      <c r="H292" s="12"/>
      <c r="I292" s="15"/>
      <c r="J292" s="8"/>
      <c r="K292" s="8"/>
    </row>
    <row r="293" spans="1:11" ht="248.1" hidden="1">
      <c r="A293" s="4">
        <v>27</v>
      </c>
      <c r="B293" s="4" t="s">
        <v>564</v>
      </c>
      <c r="C293" s="4" t="s">
        <v>604</v>
      </c>
      <c r="D293" s="5" t="s">
        <v>821</v>
      </c>
      <c r="E293" s="5" t="s">
        <v>425</v>
      </c>
      <c r="F293" s="6" t="s">
        <v>29</v>
      </c>
      <c r="G293" s="5" t="s">
        <v>820</v>
      </c>
      <c r="H293" s="12"/>
      <c r="I293" s="15"/>
      <c r="J293" s="8"/>
      <c r="K293" s="8"/>
    </row>
    <row r="294" spans="1:11" ht="409.5" hidden="1">
      <c r="A294" s="4">
        <v>27</v>
      </c>
      <c r="B294" s="4" t="s">
        <v>564</v>
      </c>
      <c r="C294" s="4" t="s">
        <v>822</v>
      </c>
      <c r="D294" s="5" t="s">
        <v>823</v>
      </c>
      <c r="E294" s="5" t="s">
        <v>425</v>
      </c>
      <c r="F294" s="6" t="s">
        <v>29</v>
      </c>
      <c r="G294" s="5" t="s">
        <v>820</v>
      </c>
      <c r="H294" s="12"/>
      <c r="I294" s="15"/>
      <c r="J294" s="8"/>
      <c r="K294" s="8"/>
    </row>
    <row r="295" spans="1:11" ht="30.95" hidden="1">
      <c r="A295" s="4">
        <v>27</v>
      </c>
      <c r="B295" s="4" t="s">
        <v>824</v>
      </c>
      <c r="C295" s="4" t="s">
        <v>163</v>
      </c>
      <c r="D295" s="5" t="s">
        <v>825</v>
      </c>
      <c r="E295" s="5" t="s">
        <v>61</v>
      </c>
      <c r="F295" s="4" t="s">
        <v>29</v>
      </c>
      <c r="G295" s="5" t="s">
        <v>826</v>
      </c>
      <c r="H295" s="12"/>
      <c r="I295" s="15"/>
      <c r="J295" s="8"/>
      <c r="K295" s="8"/>
    </row>
    <row r="296" spans="1:11" ht="77.45" hidden="1">
      <c r="A296" s="4">
        <v>27</v>
      </c>
      <c r="B296" s="4" t="s">
        <v>824</v>
      </c>
      <c r="C296" s="4" t="s">
        <v>631</v>
      </c>
      <c r="D296" s="5" t="s">
        <v>827</v>
      </c>
      <c r="E296" s="5" t="s">
        <v>61</v>
      </c>
      <c r="F296" s="4" t="s">
        <v>29</v>
      </c>
      <c r="G296" s="5" t="s">
        <v>56</v>
      </c>
      <c r="H296" s="12"/>
      <c r="I296" s="15"/>
      <c r="J296" s="8"/>
      <c r="K296" s="8"/>
    </row>
    <row r="297" spans="1:11" ht="46.5" hidden="1">
      <c r="A297" s="4">
        <v>27</v>
      </c>
      <c r="B297" s="4" t="s">
        <v>824</v>
      </c>
      <c r="C297" s="4" t="s">
        <v>634</v>
      </c>
      <c r="D297" s="5" t="s">
        <v>828</v>
      </c>
      <c r="E297" s="5" t="s">
        <v>61</v>
      </c>
      <c r="F297" s="4" t="s">
        <v>29</v>
      </c>
      <c r="G297" s="5" t="s">
        <v>56</v>
      </c>
      <c r="H297" s="12"/>
      <c r="I297" s="15"/>
      <c r="J297" s="8"/>
      <c r="K297" s="8"/>
    </row>
    <row r="298" spans="1:11" ht="77.45" hidden="1">
      <c r="A298" s="4">
        <v>28</v>
      </c>
      <c r="B298" s="4" t="s">
        <v>824</v>
      </c>
      <c r="C298" s="4" t="s">
        <v>636</v>
      </c>
      <c r="D298" s="5" t="s">
        <v>829</v>
      </c>
      <c r="E298" s="5" t="s">
        <v>61</v>
      </c>
      <c r="F298" s="4" t="s">
        <v>29</v>
      </c>
      <c r="G298" s="5" t="s">
        <v>56</v>
      </c>
      <c r="H298" s="12"/>
      <c r="I298" s="15"/>
      <c r="J298" s="8"/>
      <c r="K298" s="8"/>
    </row>
    <row r="299" spans="1:11" ht="62.1" hidden="1">
      <c r="A299" s="4">
        <v>28</v>
      </c>
      <c r="B299" s="4" t="s">
        <v>824</v>
      </c>
      <c r="C299" s="4" t="s">
        <v>830</v>
      </c>
      <c r="D299" s="5" t="s">
        <v>831</v>
      </c>
      <c r="E299" s="5" t="s">
        <v>61</v>
      </c>
      <c r="F299" s="4" t="s">
        <v>29</v>
      </c>
      <c r="G299" s="5" t="s">
        <v>56</v>
      </c>
      <c r="H299" s="12"/>
      <c r="I299" s="15"/>
      <c r="J299" s="8"/>
      <c r="K299" s="8"/>
    </row>
    <row r="300" spans="1:11" ht="30.95" hidden="1">
      <c r="A300" s="4">
        <v>28</v>
      </c>
      <c r="B300" s="4" t="s">
        <v>824</v>
      </c>
      <c r="C300" s="4" t="s">
        <v>166</v>
      </c>
      <c r="D300" s="5" t="s">
        <v>832</v>
      </c>
      <c r="E300" s="5" t="s">
        <v>61</v>
      </c>
      <c r="F300" s="4" t="s">
        <v>29</v>
      </c>
      <c r="G300" s="5" t="s">
        <v>833</v>
      </c>
      <c r="H300" s="12"/>
      <c r="I300" s="15"/>
      <c r="J300" s="8"/>
      <c r="K300" s="8"/>
    </row>
    <row r="301" spans="1:11" ht="93" hidden="1">
      <c r="A301" s="4">
        <v>28</v>
      </c>
      <c r="B301" s="4" t="s">
        <v>824</v>
      </c>
      <c r="C301" s="4" t="s">
        <v>641</v>
      </c>
      <c r="D301" s="5" t="s">
        <v>834</v>
      </c>
      <c r="E301" s="5" t="s">
        <v>61</v>
      </c>
      <c r="F301" s="4" t="s">
        <v>29</v>
      </c>
      <c r="G301" s="5" t="s">
        <v>835</v>
      </c>
      <c r="H301" s="12"/>
      <c r="I301" s="15"/>
      <c r="J301" s="8"/>
      <c r="K301" s="8"/>
    </row>
    <row r="302" spans="1:11" ht="30.95" hidden="1">
      <c r="A302" s="4">
        <v>28</v>
      </c>
      <c r="B302" s="4" t="s">
        <v>824</v>
      </c>
      <c r="C302" s="4" t="s">
        <v>836</v>
      </c>
      <c r="D302" s="5" t="s">
        <v>837</v>
      </c>
      <c r="E302" s="5" t="s">
        <v>61</v>
      </c>
      <c r="F302" s="4" t="s">
        <v>29</v>
      </c>
      <c r="G302" s="5" t="s">
        <v>838</v>
      </c>
      <c r="H302" s="12"/>
      <c r="I302" s="15"/>
      <c r="J302" s="8"/>
      <c r="K302" s="8"/>
    </row>
    <row r="303" spans="1:11" ht="93" hidden="1">
      <c r="A303" s="4">
        <v>28</v>
      </c>
      <c r="B303" s="4" t="s">
        <v>824</v>
      </c>
      <c r="C303" s="4" t="s">
        <v>839</v>
      </c>
      <c r="D303" s="5" t="s">
        <v>840</v>
      </c>
      <c r="E303" s="5" t="s">
        <v>61</v>
      </c>
      <c r="F303" s="4" t="s">
        <v>29</v>
      </c>
      <c r="G303" s="5" t="s">
        <v>56</v>
      </c>
      <c r="H303" s="12"/>
      <c r="I303" s="15"/>
      <c r="J303" s="8"/>
      <c r="K303" s="8"/>
    </row>
    <row r="304" spans="1:11" ht="30.95" hidden="1">
      <c r="A304" s="4">
        <v>28</v>
      </c>
      <c r="B304" s="4" t="s">
        <v>824</v>
      </c>
      <c r="C304" s="4" t="s">
        <v>841</v>
      </c>
      <c r="D304" s="5" t="s">
        <v>842</v>
      </c>
      <c r="E304" s="5" t="s">
        <v>61</v>
      </c>
      <c r="F304" s="4" t="s">
        <v>29</v>
      </c>
      <c r="G304" s="5" t="s">
        <v>843</v>
      </c>
      <c r="H304" s="12"/>
      <c r="I304" s="15"/>
      <c r="J304" s="8"/>
      <c r="K304" s="8"/>
    </row>
    <row r="305" spans="1:11" ht="93" hidden="1">
      <c r="A305" s="4">
        <v>28</v>
      </c>
      <c r="B305" s="4" t="s">
        <v>824</v>
      </c>
      <c r="C305" s="4" t="s">
        <v>844</v>
      </c>
      <c r="D305" s="5" t="s">
        <v>845</v>
      </c>
      <c r="E305" s="5" t="s">
        <v>61</v>
      </c>
      <c r="F305" s="4" t="s">
        <v>29</v>
      </c>
      <c r="G305" s="5" t="s">
        <v>56</v>
      </c>
      <c r="H305" s="12"/>
      <c r="I305" s="15"/>
      <c r="J305" s="8"/>
      <c r="K305" s="8"/>
    </row>
    <row r="306" spans="1:11" ht="77.45" hidden="1">
      <c r="A306" s="4">
        <v>28</v>
      </c>
      <c r="B306" s="4" t="s">
        <v>824</v>
      </c>
      <c r="C306" s="4" t="s">
        <v>643</v>
      </c>
      <c r="D306" s="5" t="s">
        <v>829</v>
      </c>
      <c r="E306" s="5" t="s">
        <v>61</v>
      </c>
      <c r="F306" s="4" t="s">
        <v>29</v>
      </c>
      <c r="G306" s="5" t="s">
        <v>56</v>
      </c>
      <c r="H306" s="12"/>
      <c r="I306" s="15"/>
      <c r="J306" s="8"/>
      <c r="K306" s="8"/>
    </row>
    <row r="307" spans="1:11" ht="30.95">
      <c r="A307" s="6">
        <v>28</v>
      </c>
      <c r="B307" s="6" t="s">
        <v>824</v>
      </c>
      <c r="C307" s="6" t="s">
        <v>423</v>
      </c>
      <c r="D307" s="15" t="s">
        <v>846</v>
      </c>
      <c r="E307" s="15" t="s">
        <v>425</v>
      </c>
      <c r="F307" s="6" t="s">
        <v>21</v>
      </c>
      <c r="G307" s="15" t="s">
        <v>847</v>
      </c>
      <c r="H307" s="12"/>
      <c r="I307" s="15"/>
      <c r="J307" s="8"/>
      <c r="K307" s="8"/>
    </row>
    <row r="308" spans="1:11" ht="30.95">
      <c r="A308" s="6">
        <v>28</v>
      </c>
      <c r="B308" s="6" t="s">
        <v>824</v>
      </c>
      <c r="C308" s="6" t="s">
        <v>169</v>
      </c>
      <c r="D308" s="15" t="s">
        <v>849</v>
      </c>
      <c r="E308" s="15" t="s">
        <v>425</v>
      </c>
      <c r="F308" s="6" t="s">
        <v>21</v>
      </c>
      <c r="G308" s="15" t="s">
        <v>850</v>
      </c>
      <c r="H308" s="12"/>
      <c r="I308" s="15"/>
      <c r="J308" s="8"/>
      <c r="K308" s="8"/>
    </row>
    <row r="309" spans="1:11" ht="46.5">
      <c r="A309" s="6">
        <v>28</v>
      </c>
      <c r="B309" s="6" t="s">
        <v>824</v>
      </c>
      <c r="C309" s="6" t="s">
        <v>851</v>
      </c>
      <c r="D309" s="15" t="s">
        <v>852</v>
      </c>
      <c r="E309" s="15" t="s">
        <v>425</v>
      </c>
      <c r="F309" s="6" t="s">
        <v>21</v>
      </c>
      <c r="G309" s="15" t="s">
        <v>1126</v>
      </c>
      <c r="H309" s="12"/>
      <c r="I309" s="15"/>
      <c r="J309" s="8"/>
      <c r="K309" s="8"/>
    </row>
    <row r="310" spans="1:11" ht="123.95">
      <c r="A310" s="6">
        <v>28</v>
      </c>
      <c r="B310" s="6" t="s">
        <v>824</v>
      </c>
      <c r="C310" s="6" t="s">
        <v>854</v>
      </c>
      <c r="D310" s="15" t="s">
        <v>855</v>
      </c>
      <c r="E310" s="15" t="s">
        <v>425</v>
      </c>
      <c r="F310" s="6" t="s">
        <v>21</v>
      </c>
      <c r="G310" s="15" t="s">
        <v>1127</v>
      </c>
      <c r="H310" s="12"/>
      <c r="I310" s="15"/>
      <c r="J310" s="8"/>
      <c r="K310" s="8"/>
    </row>
    <row r="311" spans="1:11" ht="30.95">
      <c r="A311" s="6">
        <v>28</v>
      </c>
      <c r="B311" s="6" t="s">
        <v>824</v>
      </c>
      <c r="C311" s="6" t="s">
        <v>857</v>
      </c>
      <c r="D311" s="15" t="s">
        <v>858</v>
      </c>
      <c r="E311" s="15" t="s">
        <v>39</v>
      </c>
      <c r="F311" s="6" t="s">
        <v>557</v>
      </c>
      <c r="G311" s="15" t="s">
        <v>859</v>
      </c>
      <c r="H311" s="12"/>
      <c r="I311" s="15"/>
      <c r="J311" s="8"/>
      <c r="K311" s="8"/>
    </row>
    <row r="312" spans="1:11" ht="93" hidden="1">
      <c r="A312" s="4">
        <v>28</v>
      </c>
      <c r="B312" s="4" t="s">
        <v>824</v>
      </c>
      <c r="C312" s="4" t="s">
        <v>860</v>
      </c>
      <c r="D312" s="5" t="s">
        <v>861</v>
      </c>
      <c r="E312" s="5" t="s">
        <v>39</v>
      </c>
      <c r="F312" s="4" t="s">
        <v>29</v>
      </c>
      <c r="G312" s="5" t="s">
        <v>862</v>
      </c>
      <c r="H312" s="12"/>
      <c r="I312" s="15"/>
      <c r="J312" s="8"/>
      <c r="K312" s="8"/>
    </row>
    <row r="313" spans="1:11" ht="93">
      <c r="A313" s="6">
        <v>28</v>
      </c>
      <c r="B313" s="6" t="s">
        <v>824</v>
      </c>
      <c r="C313" s="6" t="s">
        <v>863</v>
      </c>
      <c r="D313" s="15" t="s">
        <v>864</v>
      </c>
      <c r="E313" s="15" t="s">
        <v>39</v>
      </c>
      <c r="F313" s="6" t="s">
        <v>116</v>
      </c>
      <c r="G313" s="15" t="s">
        <v>1128</v>
      </c>
      <c r="H313" s="12"/>
      <c r="I313" s="15"/>
      <c r="J313" s="8"/>
      <c r="K313" s="8"/>
    </row>
    <row r="314" spans="1:11" ht="108.6" hidden="1">
      <c r="A314" s="4">
        <v>28</v>
      </c>
      <c r="B314" s="4" t="s">
        <v>824</v>
      </c>
      <c r="C314" s="4" t="s">
        <v>866</v>
      </c>
      <c r="D314" s="5" t="s">
        <v>867</v>
      </c>
      <c r="E314" s="5" t="s">
        <v>39</v>
      </c>
      <c r="F314" s="4" t="s">
        <v>29</v>
      </c>
      <c r="G314" s="5" t="s">
        <v>868</v>
      </c>
      <c r="H314" s="12"/>
      <c r="I314" s="15"/>
      <c r="J314" s="8"/>
      <c r="K314" s="8"/>
    </row>
    <row r="315" spans="1:11" ht="30.95">
      <c r="A315" s="6">
        <v>28</v>
      </c>
      <c r="B315" s="6" t="s">
        <v>824</v>
      </c>
      <c r="C315" s="6" t="s">
        <v>869</v>
      </c>
      <c r="D315" s="15" t="s">
        <v>870</v>
      </c>
      <c r="E315" s="15" t="s">
        <v>39</v>
      </c>
      <c r="F315" s="6" t="s">
        <v>21</v>
      </c>
      <c r="G315" s="15" t="s">
        <v>871</v>
      </c>
      <c r="H315" s="12"/>
      <c r="I315" s="15"/>
      <c r="J315" s="8"/>
      <c r="K315" s="8"/>
    </row>
    <row r="316" spans="1:11" ht="77.45">
      <c r="A316" s="6">
        <v>28</v>
      </c>
      <c r="B316" s="6" t="s">
        <v>824</v>
      </c>
      <c r="C316" s="6" t="s">
        <v>872</v>
      </c>
      <c r="D316" s="15" t="s">
        <v>873</v>
      </c>
      <c r="E316" s="15" t="s">
        <v>61</v>
      </c>
      <c r="F316" s="6" t="s">
        <v>62</v>
      </c>
      <c r="G316" s="15" t="s">
        <v>874</v>
      </c>
      <c r="H316" s="12"/>
      <c r="I316" s="15"/>
      <c r="J316" s="8"/>
      <c r="K316" s="8"/>
    </row>
    <row r="317" spans="1:11" ht="46.5" hidden="1">
      <c r="A317" s="4">
        <v>28</v>
      </c>
      <c r="B317" s="4" t="s">
        <v>824</v>
      </c>
      <c r="C317" s="4" t="s">
        <v>876</v>
      </c>
      <c r="D317" s="5" t="s">
        <v>877</v>
      </c>
      <c r="E317" s="5" t="s">
        <v>61</v>
      </c>
      <c r="F317" s="4" t="s">
        <v>29</v>
      </c>
      <c r="G317" s="5" t="s">
        <v>56</v>
      </c>
      <c r="H317" s="12"/>
      <c r="I317" s="15"/>
      <c r="J317" s="8"/>
      <c r="K317" s="8"/>
    </row>
    <row r="318" spans="1:11" ht="155.1">
      <c r="A318" s="6">
        <v>28</v>
      </c>
      <c r="B318" s="6" t="s">
        <v>824</v>
      </c>
      <c r="C318" s="6" t="s">
        <v>878</v>
      </c>
      <c r="D318" s="15" t="s">
        <v>879</v>
      </c>
      <c r="E318" s="15" t="s">
        <v>61</v>
      </c>
      <c r="F318" s="6" t="s">
        <v>116</v>
      </c>
      <c r="G318" s="15" t="s">
        <v>880</v>
      </c>
      <c r="H318" s="12"/>
      <c r="I318" s="15"/>
      <c r="J318" s="8"/>
      <c r="K318" s="8"/>
    </row>
    <row r="319" spans="1:11" ht="170.45">
      <c r="A319" s="6">
        <v>28</v>
      </c>
      <c r="B319" s="6" t="s">
        <v>824</v>
      </c>
      <c r="C319" s="6" t="s">
        <v>883</v>
      </c>
      <c r="D319" s="15" t="s">
        <v>884</v>
      </c>
      <c r="E319" s="15" t="s">
        <v>425</v>
      </c>
      <c r="F319" s="6" t="s">
        <v>116</v>
      </c>
      <c r="G319" s="15" t="s">
        <v>1129</v>
      </c>
      <c r="H319" s="12"/>
      <c r="I319" s="15"/>
      <c r="J319" s="8"/>
      <c r="K319" s="8"/>
    </row>
    <row r="320" spans="1:11" ht="186" hidden="1">
      <c r="A320" s="4">
        <v>28</v>
      </c>
      <c r="B320" s="4" t="s">
        <v>824</v>
      </c>
      <c r="C320" s="4" t="s">
        <v>887</v>
      </c>
      <c r="D320" s="5" t="s">
        <v>888</v>
      </c>
      <c r="E320" s="5" t="s">
        <v>425</v>
      </c>
      <c r="F320" s="4" t="s">
        <v>29</v>
      </c>
      <c r="G320" s="5" t="s">
        <v>889</v>
      </c>
      <c r="H320" s="12"/>
      <c r="I320" s="15"/>
      <c r="J320" s="8"/>
      <c r="K320" s="8"/>
    </row>
    <row r="321" spans="1:11" ht="30.95">
      <c r="A321" s="6">
        <v>29</v>
      </c>
      <c r="B321" s="6" t="s">
        <v>824</v>
      </c>
      <c r="C321" s="6" t="s">
        <v>172</v>
      </c>
      <c r="D321" s="15" t="s">
        <v>890</v>
      </c>
      <c r="E321" s="15" t="s">
        <v>39</v>
      </c>
      <c r="F321" s="6" t="s">
        <v>21</v>
      </c>
      <c r="G321" s="15" t="s">
        <v>891</v>
      </c>
      <c r="H321" s="12"/>
      <c r="I321" s="15"/>
      <c r="J321" s="8"/>
      <c r="K321" s="8"/>
    </row>
    <row r="322" spans="1:11" ht="248.1" hidden="1">
      <c r="A322" s="4">
        <v>29</v>
      </c>
      <c r="B322" s="4" t="s">
        <v>824</v>
      </c>
      <c r="C322" s="4" t="s">
        <v>892</v>
      </c>
      <c r="D322" s="5" t="s">
        <v>893</v>
      </c>
      <c r="E322" s="5" t="s">
        <v>39</v>
      </c>
      <c r="F322" s="4" t="s">
        <v>29</v>
      </c>
      <c r="G322" s="5" t="s">
        <v>894</v>
      </c>
      <c r="H322" s="12"/>
      <c r="I322" s="15"/>
      <c r="J322" s="8"/>
      <c r="K322" s="8"/>
    </row>
    <row r="323" spans="1:11" ht="30.95">
      <c r="A323" s="6">
        <v>29</v>
      </c>
      <c r="B323" s="6" t="s">
        <v>824</v>
      </c>
      <c r="C323" s="6" t="s">
        <v>895</v>
      </c>
      <c r="D323" s="15" t="s">
        <v>896</v>
      </c>
      <c r="E323" s="15" t="s">
        <v>39</v>
      </c>
      <c r="F323" s="6" t="s">
        <v>21</v>
      </c>
      <c r="G323" s="15" t="s">
        <v>898</v>
      </c>
      <c r="H323" s="12"/>
      <c r="I323" s="15"/>
      <c r="J323" s="8"/>
      <c r="K323" s="8"/>
    </row>
    <row r="324" spans="1:11" ht="93">
      <c r="A324" s="6">
        <v>29</v>
      </c>
      <c r="B324" s="6" t="s">
        <v>824</v>
      </c>
      <c r="C324" s="6" t="s">
        <v>900</v>
      </c>
      <c r="D324" s="15" t="s">
        <v>901</v>
      </c>
      <c r="E324" s="15" t="s">
        <v>39</v>
      </c>
      <c r="F324" s="6" t="s">
        <v>21</v>
      </c>
      <c r="G324" s="15" t="s">
        <v>1130</v>
      </c>
      <c r="H324" s="12"/>
      <c r="I324" s="15"/>
      <c r="J324" s="8"/>
      <c r="K324" s="8"/>
    </row>
    <row r="325" spans="1:11" ht="30.95">
      <c r="A325" s="6">
        <v>29</v>
      </c>
      <c r="B325" s="6" t="s">
        <v>824</v>
      </c>
      <c r="C325" s="6" t="s">
        <v>903</v>
      </c>
      <c r="D325" s="15" t="s">
        <v>904</v>
      </c>
      <c r="E325" s="15" t="s">
        <v>39</v>
      </c>
      <c r="F325" s="6" t="s">
        <v>62</v>
      </c>
      <c r="G325" s="15" t="s">
        <v>905</v>
      </c>
      <c r="H325" s="12"/>
      <c r="I325" s="15"/>
      <c r="J325" s="8"/>
      <c r="K325" s="8"/>
    </row>
    <row r="326" spans="1:11" ht="108.6">
      <c r="A326" s="6">
        <v>29</v>
      </c>
      <c r="B326" s="6" t="s">
        <v>824</v>
      </c>
      <c r="C326" s="6" t="s">
        <v>906</v>
      </c>
      <c r="D326" s="15" t="s">
        <v>907</v>
      </c>
      <c r="E326" s="15" t="s">
        <v>39</v>
      </c>
      <c r="F326" s="6" t="s">
        <v>62</v>
      </c>
      <c r="G326" s="15" t="s">
        <v>908</v>
      </c>
      <c r="H326" s="12"/>
      <c r="I326" s="15"/>
      <c r="J326" s="8"/>
      <c r="K326" s="8"/>
    </row>
    <row r="327" spans="1:11" ht="30.95">
      <c r="A327" s="6">
        <v>29</v>
      </c>
      <c r="B327" s="6" t="s">
        <v>824</v>
      </c>
      <c r="C327" s="6" t="s">
        <v>909</v>
      </c>
      <c r="D327" s="15" t="s">
        <v>910</v>
      </c>
      <c r="E327" s="15" t="s">
        <v>39</v>
      </c>
      <c r="F327" s="6" t="s">
        <v>62</v>
      </c>
      <c r="G327" s="15" t="s">
        <v>911</v>
      </c>
      <c r="H327" s="12"/>
      <c r="I327" s="15"/>
      <c r="J327" s="8"/>
      <c r="K327" s="8"/>
    </row>
    <row r="328" spans="1:11" ht="123.95">
      <c r="A328" s="6">
        <v>29</v>
      </c>
      <c r="B328" s="6" t="s">
        <v>824</v>
      </c>
      <c r="C328" s="6" t="s">
        <v>912</v>
      </c>
      <c r="D328" s="15" t="s">
        <v>913</v>
      </c>
      <c r="E328" s="15" t="s">
        <v>39</v>
      </c>
      <c r="F328" s="6" t="s">
        <v>62</v>
      </c>
      <c r="G328" s="15" t="s">
        <v>914</v>
      </c>
      <c r="H328" s="12"/>
      <c r="I328" s="15"/>
      <c r="J328" s="8"/>
      <c r="K328" s="8"/>
    </row>
    <row r="329" spans="1:11" ht="108.6">
      <c r="A329" s="6">
        <v>29</v>
      </c>
      <c r="B329" s="6" t="s">
        <v>824</v>
      </c>
      <c r="C329" s="6" t="s">
        <v>915</v>
      </c>
      <c r="D329" s="15" t="s">
        <v>916</v>
      </c>
      <c r="E329" s="15" t="s">
        <v>39</v>
      </c>
      <c r="F329" s="6" t="s">
        <v>62</v>
      </c>
      <c r="G329" s="15" t="s">
        <v>917</v>
      </c>
      <c r="H329" s="12"/>
      <c r="I329" s="15"/>
      <c r="J329" s="8"/>
      <c r="K329" s="8"/>
    </row>
    <row r="330" spans="1:11" ht="30.95">
      <c r="A330" s="6">
        <v>29</v>
      </c>
      <c r="B330" s="6" t="s">
        <v>824</v>
      </c>
      <c r="C330" s="6" t="s">
        <v>919</v>
      </c>
      <c r="D330" s="15" t="s">
        <v>920</v>
      </c>
      <c r="E330" s="15" t="s">
        <v>39</v>
      </c>
      <c r="F330" s="6" t="s">
        <v>21</v>
      </c>
      <c r="G330" s="15" t="s">
        <v>921</v>
      </c>
      <c r="H330" s="12"/>
      <c r="I330" s="15"/>
      <c r="J330" s="8"/>
      <c r="K330" s="8"/>
    </row>
    <row r="331" spans="1:11" ht="123.95">
      <c r="A331" s="6">
        <v>29</v>
      </c>
      <c r="B331" s="6" t="s">
        <v>824</v>
      </c>
      <c r="C331" s="6" t="s">
        <v>922</v>
      </c>
      <c r="D331" s="15" t="s">
        <v>923</v>
      </c>
      <c r="E331" s="15" t="s">
        <v>39</v>
      </c>
      <c r="F331" s="6" t="s">
        <v>21</v>
      </c>
      <c r="G331" s="15" t="s">
        <v>1131</v>
      </c>
      <c r="H331" s="12"/>
      <c r="I331" s="15"/>
      <c r="J331" s="8"/>
      <c r="K331" s="8"/>
    </row>
    <row r="332" spans="1:11" ht="93">
      <c r="A332" s="6">
        <v>29</v>
      </c>
      <c r="B332" s="6" t="s">
        <v>824</v>
      </c>
      <c r="C332" s="6" t="s">
        <v>924</v>
      </c>
      <c r="D332" s="15" t="s">
        <v>901</v>
      </c>
      <c r="E332" s="15" t="s">
        <v>39</v>
      </c>
      <c r="F332" s="6" t="s">
        <v>21</v>
      </c>
      <c r="G332" s="15" t="s">
        <v>1130</v>
      </c>
      <c r="H332" s="12"/>
      <c r="I332" s="15"/>
      <c r="J332" s="8"/>
      <c r="K332" s="8"/>
    </row>
    <row r="333" spans="1:11" ht="46.5" hidden="1">
      <c r="A333" s="4">
        <v>29</v>
      </c>
      <c r="B333" s="4" t="s">
        <v>824</v>
      </c>
      <c r="C333" s="4" t="s">
        <v>925</v>
      </c>
      <c r="D333" s="5" t="s">
        <v>926</v>
      </c>
      <c r="E333" s="5" t="s">
        <v>39</v>
      </c>
      <c r="F333" s="6" t="s">
        <v>29</v>
      </c>
      <c r="G333" s="5" t="s">
        <v>927</v>
      </c>
      <c r="H333" s="12"/>
      <c r="I333" s="15"/>
      <c r="J333" s="8"/>
      <c r="K333" s="8"/>
    </row>
    <row r="334" spans="1:11" ht="30.95" hidden="1">
      <c r="A334" s="4">
        <v>29</v>
      </c>
      <c r="B334" s="4" t="s">
        <v>824</v>
      </c>
      <c r="C334" s="4" t="s">
        <v>928</v>
      </c>
      <c r="D334" s="5" t="s">
        <v>929</v>
      </c>
      <c r="E334" s="5" t="s">
        <v>39</v>
      </c>
      <c r="F334" s="6" t="s">
        <v>29</v>
      </c>
      <c r="G334" s="5" t="s">
        <v>930</v>
      </c>
      <c r="H334" s="12"/>
      <c r="I334" s="15"/>
      <c r="J334" s="8"/>
      <c r="K334" s="8"/>
    </row>
    <row r="335" spans="1:11" ht="279" hidden="1">
      <c r="A335" s="4">
        <v>29</v>
      </c>
      <c r="B335" s="4" t="s">
        <v>824</v>
      </c>
      <c r="C335" s="4" t="s">
        <v>931</v>
      </c>
      <c r="D335" s="5" t="s">
        <v>932</v>
      </c>
      <c r="E335" s="5" t="s">
        <v>39</v>
      </c>
      <c r="F335" s="6" t="s">
        <v>29</v>
      </c>
      <c r="G335" s="5" t="s">
        <v>933</v>
      </c>
      <c r="H335" s="12"/>
      <c r="I335" s="15"/>
      <c r="J335" s="8"/>
      <c r="K335" s="8"/>
    </row>
    <row r="336" spans="1:11" ht="201.6" hidden="1">
      <c r="A336" s="4">
        <v>29</v>
      </c>
      <c r="B336" s="4" t="s">
        <v>824</v>
      </c>
      <c r="C336" s="4" t="s">
        <v>934</v>
      </c>
      <c r="D336" s="5" t="s">
        <v>935</v>
      </c>
      <c r="E336" s="5" t="s">
        <v>39</v>
      </c>
      <c r="F336" s="6" t="s">
        <v>29</v>
      </c>
      <c r="G336" s="5" t="s">
        <v>933</v>
      </c>
      <c r="H336" s="12"/>
      <c r="I336" s="15"/>
      <c r="J336" s="8"/>
      <c r="K336" s="8"/>
    </row>
    <row r="337" spans="1:11" ht="201.6" hidden="1">
      <c r="A337" s="4">
        <v>29</v>
      </c>
      <c r="B337" s="4" t="s">
        <v>824</v>
      </c>
      <c r="C337" s="4" t="s">
        <v>936</v>
      </c>
      <c r="D337" s="5" t="s">
        <v>937</v>
      </c>
      <c r="E337" s="5" t="s">
        <v>39</v>
      </c>
      <c r="F337" s="6" t="s">
        <v>29</v>
      </c>
      <c r="G337" s="5" t="s">
        <v>933</v>
      </c>
      <c r="H337" s="12"/>
      <c r="I337" s="15"/>
      <c r="J337" s="8"/>
      <c r="K337" s="8"/>
    </row>
    <row r="338" spans="1:11" ht="201.6" hidden="1">
      <c r="A338" s="4">
        <v>29</v>
      </c>
      <c r="B338" s="4" t="s">
        <v>824</v>
      </c>
      <c r="C338" s="4" t="s">
        <v>936</v>
      </c>
      <c r="D338" s="5" t="s">
        <v>938</v>
      </c>
      <c r="E338" s="5" t="s">
        <v>39</v>
      </c>
      <c r="F338" s="6" t="s">
        <v>29</v>
      </c>
      <c r="G338" s="5" t="s">
        <v>933</v>
      </c>
      <c r="H338" s="12"/>
      <c r="I338" s="15"/>
      <c r="J338" s="8"/>
      <c r="K338" s="8"/>
    </row>
    <row r="339" spans="1:11" ht="30.95" hidden="1">
      <c r="A339" s="4">
        <v>29</v>
      </c>
      <c r="B339" s="4" t="s">
        <v>824</v>
      </c>
      <c r="C339" s="4" t="s">
        <v>939</v>
      </c>
      <c r="D339" s="5" t="s">
        <v>940</v>
      </c>
      <c r="E339" s="5" t="s">
        <v>39</v>
      </c>
      <c r="F339" s="6" t="s">
        <v>29</v>
      </c>
      <c r="G339" s="5" t="s">
        <v>941</v>
      </c>
      <c r="H339" s="12"/>
      <c r="I339" s="15"/>
      <c r="J339" s="8"/>
      <c r="K339" s="8"/>
    </row>
    <row r="340" spans="1:11" ht="201.6" hidden="1">
      <c r="A340" s="4">
        <v>29</v>
      </c>
      <c r="B340" s="4" t="s">
        <v>824</v>
      </c>
      <c r="C340" s="4" t="s">
        <v>942</v>
      </c>
      <c r="D340" s="5" t="s">
        <v>943</v>
      </c>
      <c r="E340" s="5" t="s">
        <v>39</v>
      </c>
      <c r="F340" s="6" t="s">
        <v>29</v>
      </c>
      <c r="G340" s="5" t="s">
        <v>944</v>
      </c>
      <c r="H340" s="12"/>
      <c r="I340" s="15"/>
      <c r="J340" s="8"/>
      <c r="K340" s="8"/>
    </row>
    <row r="341" spans="1:11" ht="201.6" hidden="1">
      <c r="A341" s="4">
        <v>30</v>
      </c>
      <c r="B341" s="4" t="s">
        <v>824</v>
      </c>
      <c r="C341" s="4" t="s">
        <v>945</v>
      </c>
      <c r="D341" s="5" t="s">
        <v>946</v>
      </c>
      <c r="E341" s="5" t="s">
        <v>39</v>
      </c>
      <c r="F341" s="6" t="s">
        <v>29</v>
      </c>
      <c r="G341" s="5" t="s">
        <v>944</v>
      </c>
      <c r="H341" s="12"/>
      <c r="I341" s="15"/>
      <c r="J341" s="8"/>
      <c r="K341" s="8"/>
    </row>
    <row r="342" spans="1:11" ht="201.6" hidden="1">
      <c r="A342" s="4">
        <v>30</v>
      </c>
      <c r="B342" s="4" t="s">
        <v>824</v>
      </c>
      <c r="C342" s="4" t="s">
        <v>947</v>
      </c>
      <c r="D342" s="5" t="s">
        <v>948</v>
      </c>
      <c r="E342" s="5" t="s">
        <v>39</v>
      </c>
      <c r="F342" s="6" t="s">
        <v>29</v>
      </c>
      <c r="G342" s="5" t="s">
        <v>944</v>
      </c>
      <c r="H342" s="12"/>
      <c r="I342" s="15"/>
      <c r="J342" s="8"/>
      <c r="K342" s="8"/>
    </row>
    <row r="343" spans="1:11" ht="201.6" hidden="1">
      <c r="A343" s="4">
        <v>30</v>
      </c>
      <c r="B343" s="4" t="s">
        <v>824</v>
      </c>
      <c r="C343" s="4" t="s">
        <v>949</v>
      </c>
      <c r="D343" s="5" t="s">
        <v>950</v>
      </c>
      <c r="E343" s="5" t="s">
        <v>39</v>
      </c>
      <c r="F343" s="6" t="s">
        <v>29</v>
      </c>
      <c r="G343" s="5" t="s">
        <v>944</v>
      </c>
      <c r="H343" s="12"/>
      <c r="I343" s="15"/>
      <c r="J343" s="8"/>
      <c r="K343" s="8"/>
    </row>
    <row r="344" spans="1:11" ht="30.95" hidden="1">
      <c r="A344" s="4">
        <v>30</v>
      </c>
      <c r="B344" s="4" t="s">
        <v>824</v>
      </c>
      <c r="C344" s="4" t="s">
        <v>951</v>
      </c>
      <c r="D344" s="5" t="s">
        <v>952</v>
      </c>
      <c r="E344" s="5" t="s">
        <v>39</v>
      </c>
      <c r="F344" s="6" t="s">
        <v>29</v>
      </c>
      <c r="G344" s="5" t="s">
        <v>953</v>
      </c>
      <c r="H344" s="12"/>
      <c r="I344" s="15"/>
      <c r="J344" s="8"/>
      <c r="K344" s="8"/>
    </row>
    <row r="345" spans="1:11" ht="201.6" hidden="1">
      <c r="A345" s="4">
        <v>30</v>
      </c>
      <c r="B345" s="4" t="s">
        <v>824</v>
      </c>
      <c r="C345" s="4" t="s">
        <v>954</v>
      </c>
      <c r="D345" s="5" t="s">
        <v>955</v>
      </c>
      <c r="E345" s="5" t="s">
        <v>39</v>
      </c>
      <c r="F345" s="6" t="s">
        <v>29</v>
      </c>
      <c r="G345" s="5" t="s">
        <v>956</v>
      </c>
      <c r="H345" s="12"/>
      <c r="I345" s="15"/>
      <c r="J345" s="8"/>
      <c r="K345" s="8"/>
    </row>
    <row r="346" spans="1:11" ht="201.6" hidden="1">
      <c r="A346" s="4">
        <v>30</v>
      </c>
      <c r="B346" s="4" t="s">
        <v>824</v>
      </c>
      <c r="C346" s="4" t="s">
        <v>957</v>
      </c>
      <c r="D346" s="5" t="s">
        <v>958</v>
      </c>
      <c r="E346" s="5" t="s">
        <v>39</v>
      </c>
      <c r="F346" s="6" t="s">
        <v>29</v>
      </c>
      <c r="G346" s="5" t="s">
        <v>956</v>
      </c>
      <c r="H346" s="12"/>
      <c r="I346" s="15"/>
      <c r="J346" s="8"/>
      <c r="K346" s="8"/>
    </row>
    <row r="347" spans="1:11" ht="201.6" hidden="1">
      <c r="A347" s="4">
        <v>30</v>
      </c>
      <c r="B347" s="4" t="s">
        <v>824</v>
      </c>
      <c r="C347" s="4" t="s">
        <v>959</v>
      </c>
      <c r="D347" s="5" t="s">
        <v>960</v>
      </c>
      <c r="E347" s="5" t="s">
        <v>39</v>
      </c>
      <c r="F347" s="6" t="s">
        <v>29</v>
      </c>
      <c r="G347" s="5" t="s">
        <v>956</v>
      </c>
      <c r="H347" s="12"/>
      <c r="I347" s="15"/>
      <c r="J347" s="8"/>
      <c r="K347" s="8"/>
    </row>
    <row r="348" spans="1:11" ht="201.6" hidden="1">
      <c r="A348" s="4">
        <v>30</v>
      </c>
      <c r="B348" s="4" t="s">
        <v>824</v>
      </c>
      <c r="C348" s="4" t="s">
        <v>961</v>
      </c>
      <c r="D348" s="5" t="s">
        <v>962</v>
      </c>
      <c r="E348" s="5" t="s">
        <v>39</v>
      </c>
      <c r="F348" s="6" t="s">
        <v>29</v>
      </c>
      <c r="G348" s="5" t="s">
        <v>956</v>
      </c>
      <c r="H348" s="12"/>
      <c r="I348" s="15"/>
      <c r="J348" s="8"/>
      <c r="K348" s="8"/>
    </row>
    <row r="349" spans="1:11" ht="46.5" hidden="1">
      <c r="A349" s="4">
        <v>30</v>
      </c>
      <c r="B349" s="4" t="s">
        <v>824</v>
      </c>
      <c r="C349" s="4" t="s">
        <v>963</v>
      </c>
      <c r="D349" s="5" t="s">
        <v>964</v>
      </c>
      <c r="E349" s="5" t="s">
        <v>39</v>
      </c>
      <c r="F349" s="6" t="s">
        <v>29</v>
      </c>
      <c r="G349" s="5" t="s">
        <v>965</v>
      </c>
      <c r="H349" s="12"/>
      <c r="I349" s="15"/>
      <c r="J349" s="8"/>
      <c r="K349" s="8"/>
    </row>
    <row r="350" spans="1:11" ht="155.1" hidden="1">
      <c r="A350" s="4">
        <v>30</v>
      </c>
      <c r="B350" s="4" t="s">
        <v>824</v>
      </c>
      <c r="C350" s="4" t="s">
        <v>966</v>
      </c>
      <c r="D350" s="5" t="s">
        <v>967</v>
      </c>
      <c r="E350" s="5" t="s">
        <v>39</v>
      </c>
      <c r="F350" s="6" t="s">
        <v>29</v>
      </c>
      <c r="G350" s="5" t="s">
        <v>968</v>
      </c>
      <c r="H350" s="12"/>
      <c r="I350" s="15"/>
      <c r="J350" s="8"/>
      <c r="K350" s="8"/>
    </row>
    <row r="351" spans="1:11" ht="155.1" hidden="1">
      <c r="A351" s="4">
        <v>30</v>
      </c>
      <c r="B351" s="4" t="s">
        <v>824</v>
      </c>
      <c r="C351" s="4" t="s">
        <v>969</v>
      </c>
      <c r="D351" s="5" t="s">
        <v>970</v>
      </c>
      <c r="E351" s="5" t="s">
        <v>39</v>
      </c>
      <c r="F351" s="6" t="s">
        <v>29</v>
      </c>
      <c r="G351" s="5" t="s">
        <v>968</v>
      </c>
      <c r="H351" s="12"/>
      <c r="I351" s="15"/>
      <c r="J351" s="8"/>
      <c r="K351" s="8"/>
    </row>
    <row r="352" spans="1:11" ht="108.6" hidden="1">
      <c r="A352" s="4">
        <v>30</v>
      </c>
      <c r="B352" s="4" t="s">
        <v>824</v>
      </c>
      <c r="C352" s="4" t="s">
        <v>971</v>
      </c>
      <c r="D352" s="5" t="s">
        <v>972</v>
      </c>
      <c r="E352" s="5" t="s">
        <v>39</v>
      </c>
      <c r="F352" s="6" t="s">
        <v>29</v>
      </c>
      <c r="G352" s="5" t="s">
        <v>973</v>
      </c>
      <c r="H352" s="12"/>
      <c r="I352" s="15"/>
      <c r="J352" s="8"/>
      <c r="K352" s="8"/>
    </row>
    <row r="353" spans="1:11" ht="108.6" hidden="1">
      <c r="A353" s="4">
        <v>30</v>
      </c>
      <c r="B353" s="4" t="s">
        <v>824</v>
      </c>
      <c r="C353" s="4" t="s">
        <v>974</v>
      </c>
      <c r="D353" s="5" t="s">
        <v>975</v>
      </c>
      <c r="E353" s="5" t="s">
        <v>39</v>
      </c>
      <c r="F353" s="6" t="s">
        <v>29</v>
      </c>
      <c r="G353" s="5" t="s">
        <v>976</v>
      </c>
      <c r="H353" s="12"/>
      <c r="I353" s="15"/>
      <c r="J353" s="8"/>
      <c r="K353" s="8"/>
    </row>
    <row r="354" spans="1:11" ht="108.6" hidden="1">
      <c r="A354" s="4">
        <v>30</v>
      </c>
      <c r="B354" s="4" t="s">
        <v>824</v>
      </c>
      <c r="C354" s="4" t="s">
        <v>977</v>
      </c>
      <c r="D354" s="5" t="s">
        <v>978</v>
      </c>
      <c r="E354" s="5" t="s">
        <v>39</v>
      </c>
      <c r="F354" s="6" t="s">
        <v>29</v>
      </c>
      <c r="G354" s="5" t="s">
        <v>979</v>
      </c>
      <c r="H354" s="12"/>
      <c r="I354" s="15"/>
      <c r="J354" s="8"/>
      <c r="K354" s="8"/>
    </row>
    <row r="355" spans="1:11" ht="108.6" hidden="1">
      <c r="A355" s="4">
        <v>30</v>
      </c>
      <c r="B355" s="4" t="s">
        <v>824</v>
      </c>
      <c r="C355" s="4" t="s">
        <v>980</v>
      </c>
      <c r="D355" s="5" t="s">
        <v>981</v>
      </c>
      <c r="E355" s="5" t="s">
        <v>39</v>
      </c>
      <c r="F355" s="6" t="s">
        <v>29</v>
      </c>
      <c r="G355" s="5" t="s">
        <v>973</v>
      </c>
      <c r="H355" s="12"/>
      <c r="I355" s="15"/>
      <c r="J355" s="8"/>
      <c r="K355" s="8"/>
    </row>
    <row r="356" spans="1:11" ht="30.95">
      <c r="A356" s="6">
        <v>30</v>
      </c>
      <c r="B356" s="6" t="s">
        <v>824</v>
      </c>
      <c r="C356" s="6" t="s">
        <v>982</v>
      </c>
      <c r="D356" s="15" t="s">
        <v>983</v>
      </c>
      <c r="E356" s="15" t="s">
        <v>39</v>
      </c>
      <c r="F356" s="6" t="s">
        <v>62</v>
      </c>
      <c r="G356" s="15" t="s">
        <v>984</v>
      </c>
      <c r="H356" s="12"/>
      <c r="I356" s="15"/>
      <c r="J356" s="8"/>
      <c r="K356" s="8"/>
    </row>
    <row r="357" spans="1:11" ht="139.5">
      <c r="A357" s="6">
        <v>30</v>
      </c>
      <c r="B357" s="6" t="s">
        <v>824</v>
      </c>
      <c r="C357" s="6" t="s">
        <v>692</v>
      </c>
      <c r="D357" s="15" t="s">
        <v>986</v>
      </c>
      <c r="E357" s="15" t="s">
        <v>39</v>
      </c>
      <c r="F357" s="6" t="s">
        <v>62</v>
      </c>
      <c r="G357" s="15" t="s">
        <v>987</v>
      </c>
      <c r="H357" s="12"/>
      <c r="I357" s="15"/>
      <c r="J357" s="8"/>
      <c r="K357" s="8"/>
    </row>
    <row r="358" spans="1:11" ht="30.95">
      <c r="A358" s="6">
        <v>30</v>
      </c>
      <c r="B358" s="6" t="s">
        <v>824</v>
      </c>
      <c r="C358" s="6" t="s">
        <v>710</v>
      </c>
      <c r="D358" s="15" t="s">
        <v>989</v>
      </c>
      <c r="E358" s="15" t="s">
        <v>39</v>
      </c>
      <c r="F358" s="6" t="s">
        <v>62</v>
      </c>
      <c r="G358" s="15" t="s">
        <v>990</v>
      </c>
      <c r="H358" s="12"/>
      <c r="I358" s="15"/>
      <c r="J358" s="8"/>
      <c r="K358" s="8"/>
    </row>
    <row r="359" spans="1:11" ht="77.45">
      <c r="A359" s="6">
        <v>30</v>
      </c>
      <c r="B359" s="6" t="s">
        <v>824</v>
      </c>
      <c r="C359" s="6" t="s">
        <v>713</v>
      </c>
      <c r="D359" s="15" t="s">
        <v>991</v>
      </c>
      <c r="E359" s="15" t="s">
        <v>39</v>
      </c>
      <c r="F359" s="6" t="s">
        <v>62</v>
      </c>
      <c r="G359" s="15" t="s">
        <v>987</v>
      </c>
      <c r="H359" s="12"/>
      <c r="I359" s="15"/>
      <c r="J359" s="8"/>
      <c r="K359" s="8"/>
    </row>
    <row r="360" spans="1:11" ht="170.45">
      <c r="A360" s="6">
        <v>30</v>
      </c>
      <c r="B360" s="6" t="s">
        <v>824</v>
      </c>
      <c r="C360" s="6" t="s">
        <v>716</v>
      </c>
      <c r="D360" s="15" t="s">
        <v>992</v>
      </c>
      <c r="E360" s="15" t="s">
        <v>39</v>
      </c>
      <c r="F360" s="6" t="s">
        <v>62</v>
      </c>
      <c r="G360" s="15" t="s">
        <v>987</v>
      </c>
      <c r="H360" s="12"/>
      <c r="I360" s="15"/>
      <c r="J360" s="8"/>
      <c r="K360" s="8"/>
    </row>
    <row r="361" spans="1:11" ht="216.95">
      <c r="A361" s="6">
        <v>31</v>
      </c>
      <c r="B361" s="6" t="s">
        <v>824</v>
      </c>
      <c r="C361" s="6" t="s">
        <v>719</v>
      </c>
      <c r="D361" s="15" t="s">
        <v>993</v>
      </c>
      <c r="E361" s="15" t="s">
        <v>39</v>
      </c>
      <c r="F361" s="6" t="s">
        <v>62</v>
      </c>
      <c r="G361" s="15" t="s">
        <v>987</v>
      </c>
      <c r="H361" s="12"/>
      <c r="I361" s="15"/>
      <c r="J361" s="8"/>
      <c r="K361" s="8"/>
    </row>
    <row r="362" spans="1:11" ht="30.95">
      <c r="A362" s="6">
        <v>31</v>
      </c>
      <c r="B362" s="6" t="s">
        <v>824</v>
      </c>
      <c r="C362" s="6" t="s">
        <v>994</v>
      </c>
      <c r="D362" s="15" t="s">
        <v>995</v>
      </c>
      <c r="E362" s="15" t="s">
        <v>39</v>
      </c>
      <c r="F362" s="6" t="s">
        <v>62</v>
      </c>
      <c r="G362" s="15" t="s">
        <v>996</v>
      </c>
      <c r="H362" s="12"/>
      <c r="I362" s="15"/>
      <c r="J362" s="8"/>
      <c r="K362" s="8"/>
    </row>
    <row r="363" spans="1:11" ht="108.6">
      <c r="A363" s="6">
        <v>31</v>
      </c>
      <c r="B363" s="6" t="s">
        <v>824</v>
      </c>
      <c r="C363" s="6" t="s">
        <v>997</v>
      </c>
      <c r="D363" s="15" t="s">
        <v>998</v>
      </c>
      <c r="E363" s="15" t="s">
        <v>39</v>
      </c>
      <c r="F363" s="6" t="s">
        <v>62</v>
      </c>
      <c r="G363" s="15" t="s">
        <v>987</v>
      </c>
      <c r="H363" s="12"/>
      <c r="I363" s="15"/>
      <c r="J363" s="8"/>
      <c r="K363" s="8"/>
    </row>
    <row r="364" spans="1:11" ht="62.1">
      <c r="A364" s="6">
        <v>31</v>
      </c>
      <c r="B364" s="6" t="s">
        <v>824</v>
      </c>
      <c r="C364" s="6" t="s">
        <v>999</v>
      </c>
      <c r="D364" s="15" t="s">
        <v>1000</v>
      </c>
      <c r="E364" s="15" t="s">
        <v>39</v>
      </c>
      <c r="F364" s="6" t="s">
        <v>62</v>
      </c>
      <c r="G364" s="15" t="s">
        <v>987</v>
      </c>
      <c r="H364" s="12"/>
      <c r="I364" s="15"/>
      <c r="J364" s="8"/>
      <c r="K364" s="8"/>
    </row>
    <row r="365" spans="1:11" ht="62.1">
      <c r="A365" s="6">
        <v>31</v>
      </c>
      <c r="B365" s="6" t="s">
        <v>824</v>
      </c>
      <c r="C365" s="6" t="s">
        <v>1001</v>
      </c>
      <c r="D365" s="15" t="s">
        <v>1002</v>
      </c>
      <c r="E365" s="15" t="s">
        <v>39</v>
      </c>
      <c r="F365" s="6" t="s">
        <v>62</v>
      </c>
      <c r="G365" s="15" t="s">
        <v>987</v>
      </c>
      <c r="H365" s="12"/>
      <c r="I365" s="15"/>
      <c r="J365" s="8"/>
      <c r="K365" s="8"/>
    </row>
    <row r="366" spans="1:11" ht="62.1">
      <c r="A366" s="6">
        <v>31</v>
      </c>
      <c r="B366" s="6" t="s">
        <v>824</v>
      </c>
      <c r="C366" s="6" t="s">
        <v>1003</v>
      </c>
      <c r="D366" s="15" t="s">
        <v>1004</v>
      </c>
      <c r="E366" s="15" t="s">
        <v>39</v>
      </c>
      <c r="F366" s="6" t="s">
        <v>62</v>
      </c>
      <c r="G366" s="15" t="s">
        <v>987</v>
      </c>
      <c r="H366" s="12"/>
      <c r="I366" s="15"/>
      <c r="J366" s="8"/>
      <c r="K366" s="8"/>
    </row>
    <row r="367" spans="1:11" ht="77.45">
      <c r="A367" s="6">
        <v>31</v>
      </c>
      <c r="B367" s="6" t="s">
        <v>824</v>
      </c>
      <c r="C367" s="6" t="s">
        <v>1005</v>
      </c>
      <c r="D367" s="15" t="s">
        <v>1006</v>
      </c>
      <c r="E367" s="15" t="s">
        <v>39</v>
      </c>
      <c r="F367" s="6" t="s">
        <v>62</v>
      </c>
      <c r="G367" s="15" t="s">
        <v>987</v>
      </c>
      <c r="H367" s="12"/>
      <c r="I367" s="15"/>
      <c r="J367" s="8"/>
      <c r="K367" s="8"/>
    </row>
    <row r="368" spans="1:11" ht="30.95">
      <c r="A368" s="6">
        <v>31</v>
      </c>
      <c r="B368" s="6" t="s">
        <v>824</v>
      </c>
      <c r="C368" s="6" t="s">
        <v>1007</v>
      </c>
      <c r="D368" s="15" t="s">
        <v>1008</v>
      </c>
      <c r="E368" s="15" t="s">
        <v>39</v>
      </c>
      <c r="F368" s="6" t="s">
        <v>62</v>
      </c>
      <c r="G368" s="15" t="s">
        <v>1009</v>
      </c>
      <c r="H368" s="12"/>
      <c r="I368" s="15"/>
      <c r="J368" s="8"/>
      <c r="K368" s="8"/>
    </row>
    <row r="369" spans="1:11" ht="77.45">
      <c r="A369" s="6">
        <v>31</v>
      </c>
      <c r="B369" s="6" t="s">
        <v>824</v>
      </c>
      <c r="C369" s="6" t="s">
        <v>1010</v>
      </c>
      <c r="D369" s="15" t="s">
        <v>1011</v>
      </c>
      <c r="E369" s="15" t="s">
        <v>39</v>
      </c>
      <c r="F369" s="6" t="s">
        <v>62</v>
      </c>
      <c r="G369" s="15" t="s">
        <v>1012</v>
      </c>
      <c r="H369" s="12"/>
      <c r="I369" s="15"/>
      <c r="J369" s="8"/>
      <c r="K369" s="8"/>
    </row>
    <row r="370" spans="1:11" ht="139.5">
      <c r="A370" s="6">
        <v>31</v>
      </c>
      <c r="B370" s="6" t="s">
        <v>824</v>
      </c>
      <c r="C370" s="6" t="s">
        <v>1013</v>
      </c>
      <c r="D370" s="15" t="s">
        <v>1014</v>
      </c>
      <c r="E370" s="15" t="s">
        <v>39</v>
      </c>
      <c r="F370" s="6" t="s">
        <v>62</v>
      </c>
      <c r="G370" s="15" t="s">
        <v>1015</v>
      </c>
      <c r="H370" s="12"/>
      <c r="I370" s="15"/>
      <c r="J370" s="8"/>
      <c r="K370" s="8"/>
    </row>
    <row r="371" spans="1:11" ht="139.5">
      <c r="A371" s="6">
        <v>31</v>
      </c>
      <c r="B371" s="6" t="s">
        <v>824</v>
      </c>
      <c r="C371" s="6" t="s">
        <v>1016</v>
      </c>
      <c r="D371" s="15" t="s">
        <v>1017</v>
      </c>
      <c r="E371" s="15" t="s">
        <v>39</v>
      </c>
      <c r="F371" s="6" t="s">
        <v>62</v>
      </c>
      <c r="G371" s="15" t="s">
        <v>1015</v>
      </c>
      <c r="H371" s="12"/>
      <c r="I371" s="15"/>
      <c r="J371" s="8"/>
      <c r="K371" s="8"/>
    </row>
    <row r="372" spans="1:11" ht="139.5">
      <c r="A372" s="6">
        <v>31</v>
      </c>
      <c r="B372" s="6" t="s">
        <v>824</v>
      </c>
      <c r="C372" s="6" t="s">
        <v>1018</v>
      </c>
      <c r="D372" s="15" t="s">
        <v>1019</v>
      </c>
      <c r="E372" s="15" t="s">
        <v>39</v>
      </c>
      <c r="F372" s="6" t="s">
        <v>62</v>
      </c>
      <c r="G372" s="15" t="s">
        <v>1015</v>
      </c>
      <c r="H372" s="12"/>
      <c r="I372" s="15"/>
      <c r="J372" s="8"/>
      <c r="K372" s="8"/>
    </row>
    <row r="373" spans="1:11" ht="155.1">
      <c r="A373" s="6">
        <v>31</v>
      </c>
      <c r="B373" s="6" t="s">
        <v>824</v>
      </c>
      <c r="C373" s="6" t="s">
        <v>1020</v>
      </c>
      <c r="D373" s="15" t="s">
        <v>1021</v>
      </c>
      <c r="E373" s="15" t="s">
        <v>39</v>
      </c>
      <c r="F373" s="6" t="s">
        <v>62</v>
      </c>
      <c r="G373" s="15" t="s">
        <v>1022</v>
      </c>
      <c r="H373" s="12"/>
      <c r="I373" s="15"/>
      <c r="J373" s="8"/>
      <c r="K373" s="8"/>
    </row>
    <row r="374" spans="1:11" ht="30.95">
      <c r="A374" s="6">
        <v>31</v>
      </c>
      <c r="B374" s="6" t="s">
        <v>824</v>
      </c>
      <c r="C374" s="6" t="s">
        <v>1023</v>
      </c>
      <c r="D374" s="15" t="s">
        <v>1024</v>
      </c>
      <c r="E374" s="15" t="s">
        <v>39</v>
      </c>
      <c r="F374" s="6" t="s">
        <v>62</v>
      </c>
      <c r="G374" s="15" t="s">
        <v>1025</v>
      </c>
      <c r="H374" s="12"/>
      <c r="I374" s="15"/>
      <c r="J374" s="8"/>
      <c r="K374" s="8"/>
    </row>
    <row r="375" spans="1:11" ht="77.45">
      <c r="A375" s="6">
        <v>31</v>
      </c>
      <c r="B375" s="6" t="s">
        <v>824</v>
      </c>
      <c r="C375" s="6" t="s">
        <v>1026</v>
      </c>
      <c r="D375" s="15" t="s">
        <v>1027</v>
      </c>
      <c r="E375" s="15" t="s">
        <v>39</v>
      </c>
      <c r="F375" s="6" t="s">
        <v>62</v>
      </c>
      <c r="G375" s="15" t="s">
        <v>987</v>
      </c>
      <c r="H375" s="12"/>
      <c r="I375" s="15"/>
      <c r="J375" s="8"/>
      <c r="K375" s="8"/>
    </row>
    <row r="376" spans="1:11" ht="62.1">
      <c r="A376" s="6">
        <v>31</v>
      </c>
      <c r="B376" s="6" t="s">
        <v>824</v>
      </c>
      <c r="C376" s="6" t="s">
        <v>1028</v>
      </c>
      <c r="D376" s="15" t="s">
        <v>1029</v>
      </c>
      <c r="E376" s="15" t="s">
        <v>39</v>
      </c>
      <c r="F376" s="6" t="s">
        <v>62</v>
      </c>
      <c r="G376" s="15" t="s">
        <v>987</v>
      </c>
      <c r="H376" s="12"/>
      <c r="I376" s="15"/>
      <c r="J376" s="8"/>
      <c r="K376" s="8"/>
    </row>
    <row r="377" spans="1:11" ht="62.1">
      <c r="A377" s="6">
        <v>31</v>
      </c>
      <c r="B377" s="6" t="s">
        <v>824</v>
      </c>
      <c r="C377" s="6" t="s">
        <v>1030</v>
      </c>
      <c r="D377" s="15" t="s">
        <v>1031</v>
      </c>
      <c r="E377" s="15" t="s">
        <v>39</v>
      </c>
      <c r="F377" s="6" t="s">
        <v>62</v>
      </c>
      <c r="G377" s="15" t="s">
        <v>987</v>
      </c>
      <c r="H377" s="12"/>
      <c r="I377" s="15"/>
      <c r="J377" s="8"/>
      <c r="K377" s="8"/>
    </row>
    <row r="378" spans="1:11" ht="30.95">
      <c r="A378" s="6">
        <v>31</v>
      </c>
      <c r="B378" s="6" t="s">
        <v>824</v>
      </c>
      <c r="C378" s="6" t="s">
        <v>1032</v>
      </c>
      <c r="D378" s="15" t="s">
        <v>1033</v>
      </c>
      <c r="E378" s="15" t="s">
        <v>39</v>
      </c>
      <c r="F378" s="6" t="s">
        <v>62</v>
      </c>
      <c r="G378" s="15" t="s">
        <v>1034</v>
      </c>
      <c r="H378" s="12"/>
      <c r="I378" s="15"/>
      <c r="J378" s="8"/>
      <c r="K378" s="8"/>
    </row>
    <row r="379" spans="1:11" ht="93">
      <c r="A379" s="6">
        <v>31</v>
      </c>
      <c r="B379" s="6" t="s">
        <v>824</v>
      </c>
      <c r="C379" s="6" t="s">
        <v>1035</v>
      </c>
      <c r="D379" s="15" t="s">
        <v>1036</v>
      </c>
      <c r="E379" s="15" t="s">
        <v>39</v>
      </c>
      <c r="F379" s="6" t="s">
        <v>62</v>
      </c>
      <c r="G379" s="15" t="s">
        <v>987</v>
      </c>
      <c r="H379" s="12"/>
      <c r="I379" s="15"/>
      <c r="J379" s="8"/>
      <c r="K379" s="8"/>
    </row>
    <row r="380" spans="1:11" ht="62.1">
      <c r="A380" s="6">
        <v>31</v>
      </c>
      <c r="B380" s="6" t="s">
        <v>824</v>
      </c>
      <c r="C380" s="6" t="s">
        <v>1037</v>
      </c>
      <c r="D380" s="15" t="s">
        <v>1038</v>
      </c>
      <c r="E380" s="15" t="s">
        <v>39</v>
      </c>
      <c r="F380" s="6" t="s">
        <v>62</v>
      </c>
      <c r="G380" s="15" t="s">
        <v>987</v>
      </c>
      <c r="H380" s="12"/>
      <c r="I380" s="15"/>
      <c r="J380" s="8"/>
      <c r="K380" s="8"/>
    </row>
    <row r="381" spans="1:11" ht="62.1">
      <c r="A381" s="6">
        <v>31</v>
      </c>
      <c r="B381" s="6" t="s">
        <v>824</v>
      </c>
      <c r="C381" s="6" t="s">
        <v>1039</v>
      </c>
      <c r="D381" s="15" t="s">
        <v>1040</v>
      </c>
      <c r="E381" s="15" t="s">
        <v>39</v>
      </c>
      <c r="F381" s="6" t="s">
        <v>62</v>
      </c>
      <c r="G381" s="15" t="s">
        <v>987</v>
      </c>
      <c r="H381" s="12"/>
      <c r="I381" s="15"/>
      <c r="J381" s="8"/>
      <c r="K381" s="8"/>
    </row>
    <row r="382" spans="1:11" ht="170.45">
      <c r="A382" s="6">
        <v>32</v>
      </c>
      <c r="B382" s="6" t="s">
        <v>18</v>
      </c>
      <c r="C382" s="6" t="s">
        <v>18</v>
      </c>
      <c r="D382" s="15" t="s">
        <v>1041</v>
      </c>
      <c r="E382" s="15" t="s">
        <v>61</v>
      </c>
      <c r="F382" s="6" t="s">
        <v>62</v>
      </c>
      <c r="G382" s="15" t="s">
        <v>1042</v>
      </c>
      <c r="H382" s="12"/>
      <c r="I382" s="15"/>
      <c r="J382" s="8"/>
      <c r="K382" s="8"/>
    </row>
    <row r="383" spans="1:11" ht="30.95">
      <c r="A383" s="6">
        <v>32</v>
      </c>
      <c r="B383" s="6" t="s">
        <v>1043</v>
      </c>
      <c r="C383" s="6" t="s">
        <v>79</v>
      </c>
      <c r="D383" s="15" t="s">
        <v>1044</v>
      </c>
      <c r="E383" s="15" t="s">
        <v>61</v>
      </c>
      <c r="F383" s="6" t="s">
        <v>116</v>
      </c>
      <c r="G383" s="15" t="s">
        <v>1045</v>
      </c>
      <c r="H383" s="12"/>
      <c r="I383" s="15"/>
      <c r="J383" s="8"/>
      <c r="K383" s="8"/>
    </row>
    <row r="384" spans="1:11" ht="108.6">
      <c r="A384" s="6">
        <v>32</v>
      </c>
      <c r="B384" s="6" t="s">
        <v>1043</v>
      </c>
      <c r="C384" s="6" t="s">
        <v>565</v>
      </c>
      <c r="D384" s="15" t="s">
        <v>1048</v>
      </c>
      <c r="E384" s="15" t="s">
        <v>61</v>
      </c>
      <c r="F384" s="6" t="s">
        <v>116</v>
      </c>
      <c r="G384" s="15" t="s">
        <v>1049</v>
      </c>
      <c r="H384" s="12"/>
      <c r="I384" s="15"/>
      <c r="J384" s="8"/>
      <c r="K384" s="8"/>
    </row>
    <row r="385" spans="1:11" ht="108.6">
      <c r="A385" s="6">
        <v>32</v>
      </c>
      <c r="B385" s="6" t="s">
        <v>1043</v>
      </c>
      <c r="C385" s="6" t="s">
        <v>1050</v>
      </c>
      <c r="D385" s="15" t="s">
        <v>1051</v>
      </c>
      <c r="E385" s="15" t="s">
        <v>61</v>
      </c>
      <c r="F385" s="6" t="s">
        <v>116</v>
      </c>
      <c r="G385" s="15" t="s">
        <v>1049</v>
      </c>
      <c r="H385" s="12"/>
      <c r="I385" s="15"/>
      <c r="J385" s="8"/>
      <c r="K385" s="8"/>
    </row>
    <row r="386" spans="1:11" ht="108.6">
      <c r="A386" s="6">
        <v>32</v>
      </c>
      <c r="B386" s="6" t="s">
        <v>1043</v>
      </c>
      <c r="C386" s="6" t="s">
        <v>757</v>
      </c>
      <c r="D386" s="15" t="s">
        <v>1052</v>
      </c>
      <c r="E386" s="15" t="s">
        <v>61</v>
      </c>
      <c r="F386" s="6" t="s">
        <v>116</v>
      </c>
      <c r="G386" s="15" t="s">
        <v>1049</v>
      </c>
      <c r="H386" s="12"/>
      <c r="I386" s="15"/>
      <c r="J386" s="8"/>
      <c r="K386" s="8"/>
    </row>
    <row r="387" spans="1:11" ht="108.6">
      <c r="A387" s="6">
        <v>32</v>
      </c>
      <c r="B387" s="6" t="s">
        <v>1043</v>
      </c>
      <c r="C387" s="6" t="s">
        <v>761</v>
      </c>
      <c r="D387" s="15" t="s">
        <v>1053</v>
      </c>
      <c r="E387" s="15" t="s">
        <v>61</v>
      </c>
      <c r="F387" s="6" t="s">
        <v>116</v>
      </c>
      <c r="G387" s="15" t="s">
        <v>1049</v>
      </c>
      <c r="H387" s="12"/>
      <c r="I387" s="15"/>
      <c r="J387" s="8"/>
      <c r="K387" s="8"/>
    </row>
    <row r="388" spans="1:11" ht="108.6">
      <c r="A388" s="6">
        <v>32</v>
      </c>
      <c r="B388" s="6" t="s">
        <v>1043</v>
      </c>
      <c r="C388" s="6" t="s">
        <v>1054</v>
      </c>
      <c r="D388" s="15" t="s">
        <v>1055</v>
      </c>
      <c r="E388" s="15" t="s">
        <v>61</v>
      </c>
      <c r="F388" s="6" t="s">
        <v>116</v>
      </c>
      <c r="G388" s="15" t="s">
        <v>1049</v>
      </c>
      <c r="H388" s="12"/>
      <c r="I388" s="15"/>
      <c r="J388" s="8"/>
      <c r="K388" s="8"/>
    </row>
    <row r="389" spans="1:11" ht="30.95">
      <c r="A389" s="6">
        <v>32</v>
      </c>
      <c r="B389" s="6" t="s">
        <v>1043</v>
      </c>
      <c r="C389" s="6" t="s">
        <v>1056</v>
      </c>
      <c r="D389" s="15" t="s">
        <v>1057</v>
      </c>
      <c r="E389" s="15" t="s">
        <v>39</v>
      </c>
      <c r="F389" s="6" t="s">
        <v>116</v>
      </c>
      <c r="G389" s="15" t="s">
        <v>1058</v>
      </c>
      <c r="H389" s="12"/>
      <c r="I389" s="15"/>
      <c r="J389" s="8"/>
      <c r="K389" s="8"/>
    </row>
    <row r="390" spans="1:11" ht="77.45">
      <c r="A390" s="6">
        <v>32</v>
      </c>
      <c r="B390" s="6" t="s">
        <v>1043</v>
      </c>
      <c r="C390" s="6" t="s">
        <v>575</v>
      </c>
      <c r="D390" s="15" t="s">
        <v>1059</v>
      </c>
      <c r="E390" s="15" t="s">
        <v>39</v>
      </c>
      <c r="F390" s="6" t="s">
        <v>116</v>
      </c>
      <c r="G390" s="15" t="s">
        <v>1060</v>
      </c>
      <c r="H390" s="12"/>
      <c r="I390" s="15"/>
      <c r="J390" s="8"/>
      <c r="K390" s="8"/>
    </row>
    <row r="391" spans="1:11" ht="77.45">
      <c r="A391" s="6">
        <v>32</v>
      </c>
      <c r="B391" s="6" t="s">
        <v>1043</v>
      </c>
      <c r="C391" s="6" t="s">
        <v>577</v>
      </c>
      <c r="D391" s="15" t="s">
        <v>1061</v>
      </c>
      <c r="E391" s="15" t="s">
        <v>39</v>
      </c>
      <c r="F391" s="6" t="s">
        <v>116</v>
      </c>
      <c r="G391" s="15" t="s">
        <v>1060</v>
      </c>
      <c r="H391" s="12"/>
      <c r="I391" s="15"/>
      <c r="J391" s="8"/>
      <c r="K391" s="8"/>
    </row>
    <row r="392" spans="1:11" ht="77.45">
      <c r="A392" s="6">
        <v>32</v>
      </c>
      <c r="B392" s="6" t="s">
        <v>1043</v>
      </c>
      <c r="C392" s="6" t="s">
        <v>579</v>
      </c>
      <c r="D392" s="15" t="s">
        <v>1062</v>
      </c>
      <c r="E392" s="15" t="s">
        <v>39</v>
      </c>
      <c r="F392" s="6" t="s">
        <v>116</v>
      </c>
      <c r="G392" s="15" t="s">
        <v>1060</v>
      </c>
      <c r="H392" s="12"/>
      <c r="I392" s="15"/>
      <c r="J392" s="8"/>
      <c r="K392" s="8"/>
    </row>
    <row r="393" spans="1:11" ht="30.95">
      <c r="A393" s="6">
        <v>33</v>
      </c>
      <c r="B393" s="6" t="s">
        <v>1043</v>
      </c>
      <c r="C393" s="6" t="s">
        <v>1063</v>
      </c>
      <c r="D393" s="15" t="s">
        <v>1064</v>
      </c>
      <c r="E393" s="15" t="s">
        <v>425</v>
      </c>
      <c r="F393" s="6" t="s">
        <v>116</v>
      </c>
      <c r="G393" s="15" t="s">
        <v>1065</v>
      </c>
      <c r="H393" s="12"/>
      <c r="I393" s="15"/>
      <c r="J393" s="8"/>
      <c r="K393" s="8"/>
    </row>
    <row r="394" spans="1:11" ht="232.5">
      <c r="A394" s="6">
        <v>33</v>
      </c>
      <c r="B394" s="6" t="s">
        <v>1043</v>
      </c>
      <c r="C394" s="6" t="s">
        <v>582</v>
      </c>
      <c r="D394" s="15" t="s">
        <v>1067</v>
      </c>
      <c r="E394" s="15" t="s">
        <v>425</v>
      </c>
      <c r="F394" s="6" t="s">
        <v>116</v>
      </c>
      <c r="G394" s="15" t="s">
        <v>1068</v>
      </c>
      <c r="H394" s="12"/>
      <c r="I394" s="15"/>
      <c r="J394" s="8"/>
      <c r="K394" s="8"/>
    </row>
    <row r="395" spans="1:11" ht="232.5">
      <c r="A395" s="6">
        <v>33</v>
      </c>
      <c r="B395" s="6" t="s">
        <v>1043</v>
      </c>
      <c r="C395" s="6" t="s">
        <v>589</v>
      </c>
      <c r="D395" s="15" t="s">
        <v>1069</v>
      </c>
      <c r="E395" s="15" t="s">
        <v>425</v>
      </c>
      <c r="F395" s="6" t="s">
        <v>116</v>
      </c>
      <c r="G395" s="15" t="s">
        <v>1068</v>
      </c>
      <c r="H395" s="12"/>
      <c r="I395" s="15"/>
      <c r="J395" s="8"/>
      <c r="K395" s="8"/>
    </row>
    <row r="396" spans="1:11" ht="232.5">
      <c r="A396" s="6">
        <v>33</v>
      </c>
      <c r="B396" s="6" t="s">
        <v>1043</v>
      </c>
      <c r="C396" s="6" t="s">
        <v>158</v>
      </c>
      <c r="D396" s="15" t="s">
        <v>1070</v>
      </c>
      <c r="E396" s="15" t="s">
        <v>425</v>
      </c>
      <c r="F396" s="6" t="s">
        <v>116</v>
      </c>
      <c r="G396" s="15" t="s">
        <v>1068</v>
      </c>
      <c r="H396" s="12"/>
      <c r="I396" s="15"/>
      <c r="J396" s="8"/>
      <c r="K396" s="8"/>
    </row>
    <row r="397" spans="1:11" ht="232.5">
      <c r="A397" s="6">
        <v>33</v>
      </c>
      <c r="B397" s="6" t="s">
        <v>1043</v>
      </c>
      <c r="C397" s="6" t="s">
        <v>1071</v>
      </c>
      <c r="D397" s="15" t="s">
        <v>1072</v>
      </c>
      <c r="E397" s="15" t="s">
        <v>425</v>
      </c>
      <c r="F397" s="6" t="s">
        <v>116</v>
      </c>
      <c r="G397" s="15" t="s">
        <v>1068</v>
      </c>
      <c r="H397" s="12"/>
      <c r="I397" s="15"/>
      <c r="J397" s="8"/>
      <c r="K397" s="8"/>
    </row>
    <row r="398" spans="1:11" ht="232.5">
      <c r="A398" s="6">
        <v>33</v>
      </c>
      <c r="B398" s="6" t="s">
        <v>1043</v>
      </c>
      <c r="C398" s="6" t="s">
        <v>591</v>
      </c>
      <c r="D398" s="15" t="s">
        <v>1073</v>
      </c>
      <c r="E398" s="15" t="s">
        <v>425</v>
      </c>
      <c r="F398" s="6" t="s">
        <v>116</v>
      </c>
      <c r="G398" s="15" t="s">
        <v>1068</v>
      </c>
      <c r="H398" s="12"/>
      <c r="I398" s="15" t="s">
        <v>1132</v>
      </c>
      <c r="J398" s="8"/>
      <c r="K398" s="8"/>
    </row>
    <row r="399" spans="1:11" ht="77.45" hidden="1">
      <c r="A399" s="4">
        <v>33</v>
      </c>
      <c r="B399" s="4" t="s">
        <v>1043</v>
      </c>
      <c r="C399" s="4" t="s">
        <v>1074</v>
      </c>
      <c r="D399" s="5" t="s">
        <v>1075</v>
      </c>
      <c r="E399" s="5" t="s">
        <v>39</v>
      </c>
      <c r="F399" s="4" t="s">
        <v>29</v>
      </c>
      <c r="G399" s="5" t="s">
        <v>1076</v>
      </c>
      <c r="H399" s="12"/>
      <c r="I399" s="15"/>
      <c r="J399" s="8"/>
      <c r="K399" s="8"/>
    </row>
    <row r="400" spans="1:11" ht="108.6" hidden="1">
      <c r="A400" s="4">
        <v>33</v>
      </c>
      <c r="B400" s="4" t="s">
        <v>1043</v>
      </c>
      <c r="C400" s="4" t="s">
        <v>160</v>
      </c>
      <c r="D400" s="5" t="s">
        <v>1077</v>
      </c>
      <c r="E400" s="5" t="s">
        <v>39</v>
      </c>
      <c r="F400" s="4" t="s">
        <v>29</v>
      </c>
      <c r="G400" s="5" t="s">
        <v>1078</v>
      </c>
      <c r="H400" s="12"/>
      <c r="I400" s="15"/>
      <c r="J400" s="8"/>
      <c r="K400" s="8"/>
    </row>
    <row r="401" spans="1:11" ht="123.95" hidden="1">
      <c r="A401" s="4">
        <v>33</v>
      </c>
      <c r="B401" s="4" t="s">
        <v>1043</v>
      </c>
      <c r="C401" s="4" t="s">
        <v>604</v>
      </c>
      <c r="D401" s="5" t="s">
        <v>1079</v>
      </c>
      <c r="E401" s="5" t="s">
        <v>39</v>
      </c>
      <c r="F401" s="4" t="s">
        <v>29</v>
      </c>
      <c r="G401" s="5" t="s">
        <v>56</v>
      </c>
      <c r="H401" s="12"/>
      <c r="I401" s="15"/>
      <c r="J401" s="8"/>
      <c r="K401" s="8"/>
    </row>
    <row r="402" spans="1:11" ht="93" hidden="1">
      <c r="A402" s="4">
        <v>33</v>
      </c>
      <c r="B402" s="4" t="s">
        <v>1043</v>
      </c>
      <c r="C402" s="4" t="s">
        <v>611</v>
      </c>
      <c r="D402" s="5" t="s">
        <v>1080</v>
      </c>
      <c r="E402" s="5" t="s">
        <v>39</v>
      </c>
      <c r="F402" s="4" t="s">
        <v>29</v>
      </c>
      <c r="G402" s="5" t="s">
        <v>56</v>
      </c>
      <c r="H402" s="12"/>
      <c r="I402" s="15"/>
      <c r="J402" s="8"/>
      <c r="K402" s="8"/>
    </row>
    <row r="403" spans="1:11" ht="93" hidden="1">
      <c r="A403" s="4">
        <v>33</v>
      </c>
      <c r="B403" s="4" t="s">
        <v>1043</v>
      </c>
      <c r="C403" s="4" t="s">
        <v>616</v>
      </c>
      <c r="D403" s="5" t="s">
        <v>1081</v>
      </c>
      <c r="E403" s="5" t="s">
        <v>39</v>
      </c>
      <c r="F403" s="4" t="s">
        <v>29</v>
      </c>
      <c r="G403" s="5" t="s">
        <v>56</v>
      </c>
      <c r="H403" s="12"/>
      <c r="I403" s="15"/>
      <c r="J403" s="8"/>
      <c r="K403" s="8"/>
    </row>
    <row r="404" spans="1:11" ht="46.5" hidden="1">
      <c r="A404" s="4">
        <v>33</v>
      </c>
      <c r="B404" s="4" t="s">
        <v>1043</v>
      </c>
      <c r="C404" s="4" t="s">
        <v>618</v>
      </c>
      <c r="D404" s="5" t="s">
        <v>1082</v>
      </c>
      <c r="E404" s="5" t="s">
        <v>39</v>
      </c>
      <c r="F404" s="4" t="s">
        <v>29</v>
      </c>
      <c r="G404" s="5" t="s">
        <v>56</v>
      </c>
      <c r="H404" s="12"/>
      <c r="I404" s="15"/>
      <c r="J404" s="8"/>
      <c r="K404" s="8"/>
    </row>
    <row r="405" spans="1:11" ht="62.1" hidden="1">
      <c r="A405" s="4">
        <v>33</v>
      </c>
      <c r="B405" s="4" t="s">
        <v>1043</v>
      </c>
      <c r="C405" s="4" t="s">
        <v>620</v>
      </c>
      <c r="D405" s="5" t="s">
        <v>1083</v>
      </c>
      <c r="E405" s="5" t="s">
        <v>39</v>
      </c>
      <c r="F405" s="4" t="s">
        <v>29</v>
      </c>
      <c r="G405" s="5" t="s">
        <v>56</v>
      </c>
      <c r="H405" s="12"/>
      <c r="I405" s="15"/>
      <c r="J405" s="8"/>
      <c r="K405" s="8"/>
    </row>
    <row r="406" spans="1:11" ht="77.45" hidden="1">
      <c r="A406" s="4">
        <v>33</v>
      </c>
      <c r="B406" s="4" t="s">
        <v>1043</v>
      </c>
      <c r="C406" s="4" t="s">
        <v>622</v>
      </c>
      <c r="D406" s="5" t="s">
        <v>1084</v>
      </c>
      <c r="E406" s="5" t="s">
        <v>39</v>
      </c>
      <c r="F406" s="4" t="s">
        <v>29</v>
      </c>
      <c r="G406" s="5" t="s">
        <v>56</v>
      </c>
      <c r="H406" s="12"/>
      <c r="I406" s="15"/>
      <c r="J406" s="8"/>
      <c r="K406" s="8"/>
    </row>
    <row r="407" spans="1:11" ht="62.1" hidden="1">
      <c r="A407" s="4">
        <v>33</v>
      </c>
      <c r="B407" s="4" t="s">
        <v>1043</v>
      </c>
      <c r="C407" s="4" t="s">
        <v>625</v>
      </c>
      <c r="D407" s="5" t="s">
        <v>1085</v>
      </c>
      <c r="E407" s="5" t="s">
        <v>39</v>
      </c>
      <c r="F407" s="4" t="s">
        <v>29</v>
      </c>
      <c r="G407" s="5" t="s">
        <v>56</v>
      </c>
      <c r="H407" s="12"/>
      <c r="I407" s="15"/>
      <c r="J407" s="8"/>
      <c r="K407" s="8"/>
    </row>
    <row r="408" spans="1:11" ht="77.45" hidden="1">
      <c r="A408" s="4">
        <v>33</v>
      </c>
      <c r="B408" s="4" t="s">
        <v>1043</v>
      </c>
      <c r="C408" s="4" t="s">
        <v>1086</v>
      </c>
      <c r="D408" s="5" t="s">
        <v>1087</v>
      </c>
      <c r="E408" s="5" t="s">
        <v>39</v>
      </c>
      <c r="F408" s="4" t="s">
        <v>29</v>
      </c>
      <c r="G408" s="5" t="s">
        <v>56</v>
      </c>
      <c r="H408" s="12"/>
      <c r="I408" s="15"/>
      <c r="J408" s="8"/>
      <c r="K408" s="8"/>
    </row>
    <row r="409" spans="1:11" ht="62.1" hidden="1">
      <c r="A409" s="4">
        <v>33</v>
      </c>
      <c r="B409" s="4" t="s">
        <v>1043</v>
      </c>
      <c r="C409" s="4" t="s">
        <v>1088</v>
      </c>
      <c r="D409" s="5" t="s">
        <v>1089</v>
      </c>
      <c r="E409" s="5" t="s">
        <v>39</v>
      </c>
      <c r="F409" s="4" t="s">
        <v>29</v>
      </c>
      <c r="G409" s="5" t="s">
        <v>56</v>
      </c>
      <c r="H409" s="12"/>
      <c r="I409" s="15"/>
      <c r="J409" s="8"/>
      <c r="K409" s="8"/>
    </row>
    <row r="410" spans="1:11" ht="77.45" hidden="1">
      <c r="A410" s="4">
        <v>33</v>
      </c>
      <c r="B410" s="4" t="s">
        <v>1043</v>
      </c>
      <c r="C410" s="4" t="s">
        <v>1090</v>
      </c>
      <c r="D410" s="5" t="s">
        <v>1091</v>
      </c>
      <c r="E410" s="5" t="s">
        <v>39</v>
      </c>
      <c r="F410" s="4" t="s">
        <v>29</v>
      </c>
      <c r="G410" s="5" t="s">
        <v>56</v>
      </c>
      <c r="H410" s="12"/>
      <c r="I410" s="15"/>
      <c r="J410" s="8"/>
      <c r="K410" s="8"/>
    </row>
    <row r="411" spans="1:11" ht="62.1" hidden="1">
      <c r="A411" s="4">
        <v>33</v>
      </c>
      <c r="B411" s="4" t="s">
        <v>1043</v>
      </c>
      <c r="C411" s="4" t="s">
        <v>1092</v>
      </c>
      <c r="D411" s="5" t="s">
        <v>1093</v>
      </c>
      <c r="E411" s="5" t="s">
        <v>39</v>
      </c>
      <c r="F411" s="4" t="s">
        <v>29</v>
      </c>
      <c r="G411" s="5" t="s">
        <v>56</v>
      </c>
      <c r="H411" s="12"/>
      <c r="I411" s="15"/>
      <c r="J411" s="8"/>
      <c r="K411" s="8"/>
    </row>
    <row r="412" spans="1:11" ht="108.6" hidden="1">
      <c r="A412" s="4">
        <v>33</v>
      </c>
      <c r="B412" s="4" t="s">
        <v>1043</v>
      </c>
      <c r="C412" s="4" t="s">
        <v>1094</v>
      </c>
      <c r="D412" s="5" t="s">
        <v>1095</v>
      </c>
      <c r="E412" s="5" t="s">
        <v>39</v>
      </c>
      <c r="F412" s="4" t="s">
        <v>29</v>
      </c>
      <c r="G412" s="5" t="s">
        <v>56</v>
      </c>
      <c r="H412" s="12"/>
      <c r="I412" s="15"/>
      <c r="J412" s="8"/>
      <c r="K412" s="8"/>
    </row>
    <row r="415" spans="1:11">
      <c r="E415" s="1" t="s">
        <v>29</v>
      </c>
      <c r="F415" s="1">
        <f>COUNTIF(F2:F398, "comply")</f>
        <v>240</v>
      </c>
    </row>
    <row r="416" spans="1:11">
      <c r="E416" s="1" t="s">
        <v>1133</v>
      </c>
      <c r="H416" s="1">
        <f>COUNTA(H2:H398)</f>
        <v>64</v>
      </c>
    </row>
    <row r="417" spans="8:8">
      <c r="H417" s="1">
        <f>COUNTIF(H4:H400, "accepted")</f>
        <v>7</v>
      </c>
    </row>
    <row r="418" spans="8:8">
      <c r="H418" s="1" t="s">
        <v>1134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7CF5A-65AA-48B4-89E7-34D5BE0A636A}">
  <dimension ref="A1:N412"/>
  <sheetViews>
    <sheetView workbookViewId="0">
      <selection activeCell="R2" sqref="R2"/>
    </sheetView>
  </sheetViews>
  <sheetFormatPr defaultRowHeight="12.6"/>
  <sheetData>
    <row r="1" spans="1:14" ht="62.1">
      <c r="A1" s="2" t="s">
        <v>2</v>
      </c>
      <c r="B1" s="2" t="s">
        <v>3</v>
      </c>
      <c r="C1" s="2" t="s">
        <v>4</v>
      </c>
      <c r="D1" s="2" t="s">
        <v>5</v>
      </c>
      <c r="E1" s="2" t="s">
        <v>6</v>
      </c>
      <c r="F1" s="3" t="s">
        <v>7</v>
      </c>
      <c r="G1" s="3" t="s">
        <v>8</v>
      </c>
      <c r="H1" s="2" t="s">
        <v>9</v>
      </c>
      <c r="I1" s="33" t="s">
        <v>10</v>
      </c>
      <c r="J1" s="26" t="s">
        <v>11</v>
      </c>
      <c r="K1" s="27" t="s">
        <v>12</v>
      </c>
      <c r="L1" s="27" t="s">
        <v>13</v>
      </c>
      <c r="M1" s="27" t="s">
        <v>14</v>
      </c>
      <c r="N1" s="28" t="s">
        <v>16</v>
      </c>
    </row>
    <row r="2" spans="1:14" ht="409.5">
      <c r="A2" s="4">
        <v>5</v>
      </c>
      <c r="B2" s="4" t="s">
        <v>17</v>
      </c>
      <c r="C2" s="4" t="s">
        <v>18</v>
      </c>
      <c r="D2" s="5" t="s">
        <v>19</v>
      </c>
      <c r="E2" s="5" t="s">
        <v>20</v>
      </c>
      <c r="F2" s="6" t="s">
        <v>21</v>
      </c>
      <c r="G2" s="6" t="s">
        <v>22</v>
      </c>
      <c r="H2" s="5" t="s">
        <v>23</v>
      </c>
      <c r="I2" s="12"/>
      <c r="J2" s="29" t="s">
        <v>24</v>
      </c>
      <c r="K2" s="29" t="s">
        <v>24</v>
      </c>
      <c r="L2" s="29" t="s">
        <v>24</v>
      </c>
      <c r="M2" s="25" t="s">
        <v>25</v>
      </c>
      <c r="N2" s="30" t="s">
        <v>18</v>
      </c>
    </row>
    <row r="3" spans="1:14" ht="409.5">
      <c r="A3" s="4">
        <v>5</v>
      </c>
      <c r="B3" s="4" t="s">
        <v>26</v>
      </c>
      <c r="C3" s="4" t="s">
        <v>27</v>
      </c>
      <c r="D3" s="5" t="s">
        <v>28</v>
      </c>
      <c r="E3" s="5" t="s">
        <v>20</v>
      </c>
      <c r="F3" s="34" t="s">
        <v>29</v>
      </c>
      <c r="G3" s="6" t="s">
        <v>30</v>
      </c>
      <c r="H3" s="5" t="s">
        <v>31</v>
      </c>
      <c r="I3" s="12" t="s">
        <v>32</v>
      </c>
      <c r="J3" s="29" t="s">
        <v>33</v>
      </c>
      <c r="K3" s="29">
        <v>2</v>
      </c>
      <c r="L3" s="29" t="s">
        <v>34</v>
      </c>
      <c r="M3" s="25" t="s">
        <v>35</v>
      </c>
      <c r="N3" s="30" t="s">
        <v>36</v>
      </c>
    </row>
    <row r="4" spans="1:14" ht="409.5">
      <c r="A4" s="4">
        <v>5</v>
      </c>
      <c r="B4" s="4" t="s">
        <v>26</v>
      </c>
      <c r="C4" s="4" t="s">
        <v>37</v>
      </c>
      <c r="D4" s="5" t="s">
        <v>38</v>
      </c>
      <c r="E4" s="5" t="s">
        <v>39</v>
      </c>
      <c r="F4" s="34" t="s">
        <v>29</v>
      </c>
      <c r="G4" s="6" t="s">
        <v>30</v>
      </c>
      <c r="H4" s="5" t="s">
        <v>40</v>
      </c>
      <c r="I4" s="12" t="s">
        <v>32</v>
      </c>
      <c r="J4" s="29" t="s">
        <v>33</v>
      </c>
      <c r="K4" s="29">
        <v>2</v>
      </c>
      <c r="L4" s="29" t="s">
        <v>34</v>
      </c>
      <c r="M4" s="25" t="s">
        <v>35</v>
      </c>
      <c r="N4" s="30" t="s">
        <v>36</v>
      </c>
    </row>
    <row r="5" spans="1:14" ht="409.5">
      <c r="A5" s="4">
        <v>5</v>
      </c>
      <c r="B5" s="4" t="s">
        <v>26</v>
      </c>
      <c r="C5" s="4" t="s">
        <v>41</v>
      </c>
      <c r="D5" s="5" t="s">
        <v>42</v>
      </c>
      <c r="E5" s="5" t="s">
        <v>20</v>
      </c>
      <c r="F5" s="6" t="s">
        <v>43</v>
      </c>
      <c r="G5" s="6" t="s">
        <v>22</v>
      </c>
      <c r="H5" s="5" t="s">
        <v>44</v>
      </c>
      <c r="I5" s="12" t="s">
        <v>45</v>
      </c>
      <c r="J5" s="29" t="s">
        <v>46</v>
      </c>
      <c r="K5" s="29">
        <v>1</v>
      </c>
      <c r="L5" s="29" t="s">
        <v>47</v>
      </c>
      <c r="M5" s="25" t="s">
        <v>48</v>
      </c>
      <c r="N5" s="30" t="s">
        <v>18</v>
      </c>
    </row>
    <row r="6" spans="1:14" ht="409.5">
      <c r="A6" s="4">
        <v>5</v>
      </c>
      <c r="B6" s="4" t="s">
        <v>26</v>
      </c>
      <c r="C6" s="4" t="s">
        <v>50</v>
      </c>
      <c r="D6" s="5" t="s">
        <v>51</v>
      </c>
      <c r="E6" s="5" t="s">
        <v>20</v>
      </c>
      <c r="F6" s="4" t="s">
        <v>29</v>
      </c>
      <c r="G6" s="4" t="s">
        <v>22</v>
      </c>
      <c r="H6" s="5" t="s">
        <v>52</v>
      </c>
      <c r="I6" s="12"/>
      <c r="J6" s="29" t="s">
        <v>46</v>
      </c>
      <c r="K6" s="29">
        <v>1</v>
      </c>
      <c r="L6" s="29" t="s">
        <v>53</v>
      </c>
      <c r="M6" s="25" t="s">
        <v>48</v>
      </c>
      <c r="N6" s="30" t="s">
        <v>18</v>
      </c>
    </row>
    <row r="7" spans="1:14" ht="356.45">
      <c r="A7" s="4">
        <v>5</v>
      </c>
      <c r="B7" s="4" t="s">
        <v>26</v>
      </c>
      <c r="C7" s="4" t="s">
        <v>54</v>
      </c>
      <c r="D7" s="5" t="s">
        <v>55</v>
      </c>
      <c r="E7" s="5" t="s">
        <v>20</v>
      </c>
      <c r="F7" s="4" t="s">
        <v>29</v>
      </c>
      <c r="G7" s="4" t="s">
        <v>22</v>
      </c>
      <c r="H7" s="5" t="s">
        <v>56</v>
      </c>
      <c r="I7" s="12"/>
      <c r="J7" s="29" t="s">
        <v>46</v>
      </c>
      <c r="K7" s="29">
        <v>1</v>
      </c>
      <c r="L7" s="29" t="s">
        <v>53</v>
      </c>
      <c r="M7" s="25" t="s">
        <v>48</v>
      </c>
      <c r="N7" s="30" t="s">
        <v>18</v>
      </c>
    </row>
    <row r="8" spans="1:14" ht="409.5">
      <c r="A8" s="4">
        <v>6</v>
      </c>
      <c r="B8" s="4" t="s">
        <v>57</v>
      </c>
      <c r="C8" s="4" t="s">
        <v>18</v>
      </c>
      <c r="D8" s="5" t="s">
        <v>58</v>
      </c>
      <c r="E8" s="5" t="s">
        <v>20</v>
      </c>
      <c r="F8" s="6" t="s">
        <v>21</v>
      </c>
      <c r="G8" s="6"/>
      <c r="H8" s="5" t="s">
        <v>59</v>
      </c>
      <c r="I8" s="12"/>
      <c r="J8" s="29"/>
      <c r="K8" s="29"/>
      <c r="L8" s="29" t="s">
        <v>24</v>
      </c>
      <c r="M8" s="25"/>
      <c r="N8" s="30" t="s">
        <v>36</v>
      </c>
    </row>
    <row r="9" spans="1:14" ht="409.5">
      <c r="A9" s="4">
        <v>6</v>
      </c>
      <c r="B9" s="4" t="s">
        <v>57</v>
      </c>
      <c r="C9" s="4" t="s">
        <v>18</v>
      </c>
      <c r="D9" s="5" t="s">
        <v>60</v>
      </c>
      <c r="E9" s="5" t="s">
        <v>61</v>
      </c>
      <c r="F9" s="4" t="s">
        <v>62</v>
      </c>
      <c r="G9" s="4" t="s">
        <v>30</v>
      </c>
      <c r="H9" s="5" t="s">
        <v>63</v>
      </c>
      <c r="I9" s="12" t="s">
        <v>64</v>
      </c>
      <c r="J9" s="29" t="s">
        <v>33</v>
      </c>
      <c r="K9" s="29">
        <v>2</v>
      </c>
      <c r="L9" s="29" t="s">
        <v>65</v>
      </c>
      <c r="M9" s="25"/>
      <c r="N9" s="30" t="s">
        <v>36</v>
      </c>
    </row>
    <row r="10" spans="1:14" ht="409.5">
      <c r="A10" s="4">
        <v>6</v>
      </c>
      <c r="B10" s="4" t="s">
        <v>57</v>
      </c>
      <c r="C10" s="4" t="s">
        <v>18</v>
      </c>
      <c r="D10" s="5" t="s">
        <v>66</v>
      </c>
      <c r="E10" s="5" t="s">
        <v>39</v>
      </c>
      <c r="F10" s="31" t="s">
        <v>29</v>
      </c>
      <c r="G10" s="6" t="s">
        <v>30</v>
      </c>
      <c r="H10" s="5" t="s">
        <v>67</v>
      </c>
      <c r="I10" s="12" t="s">
        <v>68</v>
      </c>
      <c r="J10" s="29" t="s">
        <v>33</v>
      </c>
      <c r="K10" s="29">
        <v>1</v>
      </c>
      <c r="L10" s="29" t="s">
        <v>69</v>
      </c>
      <c r="M10" s="25" t="s">
        <v>35</v>
      </c>
      <c r="N10" s="30" t="s">
        <v>36</v>
      </c>
    </row>
    <row r="11" spans="1:14" ht="409.5">
      <c r="A11" s="4">
        <v>6</v>
      </c>
      <c r="B11" s="4" t="s">
        <v>57</v>
      </c>
      <c r="C11" s="4" t="s">
        <v>18</v>
      </c>
      <c r="D11" s="5" t="s">
        <v>70</v>
      </c>
      <c r="E11" s="5" t="s">
        <v>39</v>
      </c>
      <c r="F11" s="6" t="s">
        <v>21</v>
      </c>
      <c r="G11" s="6" t="s">
        <v>30</v>
      </c>
      <c r="H11" s="5" t="s">
        <v>71</v>
      </c>
      <c r="I11" s="12" t="s">
        <v>72</v>
      </c>
      <c r="J11" s="29" t="s">
        <v>33</v>
      </c>
      <c r="K11" s="29">
        <v>3</v>
      </c>
      <c r="L11" s="29" t="s">
        <v>73</v>
      </c>
      <c r="M11" s="25" t="s">
        <v>74</v>
      </c>
      <c r="N11" s="30" t="s">
        <v>36</v>
      </c>
    </row>
    <row r="12" spans="1:14" ht="409.5">
      <c r="A12" s="4">
        <v>6</v>
      </c>
      <c r="B12" s="4" t="s">
        <v>75</v>
      </c>
      <c r="C12" s="4" t="s">
        <v>18</v>
      </c>
      <c r="D12" s="5" t="s">
        <v>76</v>
      </c>
      <c r="E12" s="5" t="s">
        <v>20</v>
      </c>
      <c r="F12" s="6" t="s">
        <v>21</v>
      </c>
      <c r="G12" s="6" t="s">
        <v>22</v>
      </c>
      <c r="H12" s="5" t="s">
        <v>77</v>
      </c>
      <c r="I12" s="12" t="s">
        <v>24</v>
      </c>
      <c r="J12" s="29" t="s">
        <v>24</v>
      </c>
      <c r="K12" s="29" t="s">
        <v>24</v>
      </c>
      <c r="L12" s="29" t="s">
        <v>24</v>
      </c>
      <c r="M12" s="25" t="s">
        <v>25</v>
      </c>
      <c r="N12" s="30" t="s">
        <v>18</v>
      </c>
    </row>
    <row r="13" spans="1:14" ht="409.5">
      <c r="A13" s="4">
        <v>6</v>
      </c>
      <c r="B13" s="6" t="s">
        <v>78</v>
      </c>
      <c r="C13" s="4" t="s">
        <v>79</v>
      </c>
      <c r="D13" s="5" t="s">
        <v>80</v>
      </c>
      <c r="E13" s="5" t="s">
        <v>39</v>
      </c>
      <c r="F13" s="6" t="s">
        <v>21</v>
      </c>
      <c r="G13" s="6" t="s">
        <v>30</v>
      </c>
      <c r="H13" s="5" t="s">
        <v>71</v>
      </c>
      <c r="I13" s="12" t="s">
        <v>72</v>
      </c>
      <c r="J13" s="29" t="s">
        <v>33</v>
      </c>
      <c r="K13" s="29">
        <v>2</v>
      </c>
      <c r="L13" s="29"/>
      <c r="M13" s="25" t="s">
        <v>81</v>
      </c>
      <c r="N13" s="30" t="s">
        <v>36</v>
      </c>
    </row>
    <row r="14" spans="1:14" ht="409.5">
      <c r="A14" s="4">
        <v>6</v>
      </c>
      <c r="B14" s="6" t="s">
        <v>78</v>
      </c>
      <c r="C14" s="4" t="s">
        <v>82</v>
      </c>
      <c r="D14" s="5" t="s">
        <v>83</v>
      </c>
      <c r="E14" s="5" t="s">
        <v>39</v>
      </c>
      <c r="F14" s="31" t="s">
        <v>29</v>
      </c>
      <c r="G14" s="6" t="s">
        <v>30</v>
      </c>
      <c r="H14" s="5" t="s">
        <v>84</v>
      </c>
      <c r="I14" s="12"/>
      <c r="J14" s="29" t="s">
        <v>33</v>
      </c>
      <c r="K14" s="29">
        <v>1</v>
      </c>
      <c r="L14" s="29" t="s">
        <v>85</v>
      </c>
      <c r="M14" s="25" t="s">
        <v>81</v>
      </c>
      <c r="N14" s="30" t="s">
        <v>36</v>
      </c>
    </row>
    <row r="15" spans="1:14" ht="409.5">
      <c r="A15" s="4">
        <v>6</v>
      </c>
      <c r="B15" s="6" t="s">
        <v>78</v>
      </c>
      <c r="C15" s="4" t="s">
        <v>87</v>
      </c>
      <c r="D15" s="5" t="s">
        <v>88</v>
      </c>
      <c r="E15" s="5" t="s">
        <v>39</v>
      </c>
      <c r="F15" s="4" t="s">
        <v>29</v>
      </c>
      <c r="G15" s="4" t="s">
        <v>22</v>
      </c>
      <c r="H15" s="5" t="s">
        <v>89</v>
      </c>
      <c r="I15" s="12" t="s">
        <v>90</v>
      </c>
      <c r="J15" s="29" t="s">
        <v>33</v>
      </c>
      <c r="K15" s="29">
        <v>1</v>
      </c>
      <c r="L15" s="29" t="s">
        <v>91</v>
      </c>
      <c r="M15" s="25" t="s">
        <v>92</v>
      </c>
      <c r="N15" s="30" t="s">
        <v>36</v>
      </c>
    </row>
    <row r="16" spans="1:14" ht="409.5">
      <c r="A16" s="4">
        <v>7</v>
      </c>
      <c r="B16" s="6" t="s">
        <v>78</v>
      </c>
      <c r="C16" s="4" t="s">
        <v>87</v>
      </c>
      <c r="D16" s="5" t="s">
        <v>93</v>
      </c>
      <c r="E16" s="5" t="s">
        <v>61</v>
      </c>
      <c r="F16" s="4" t="s">
        <v>29</v>
      </c>
      <c r="G16" s="4" t="s">
        <v>30</v>
      </c>
      <c r="H16" s="5" t="s">
        <v>94</v>
      </c>
      <c r="I16" s="12"/>
      <c r="J16" s="29" t="s">
        <v>46</v>
      </c>
      <c r="K16" s="29">
        <v>1</v>
      </c>
      <c r="L16" s="41" t="s">
        <v>95</v>
      </c>
      <c r="M16" s="25" t="s">
        <v>96</v>
      </c>
      <c r="N16" s="30" t="s">
        <v>36</v>
      </c>
    </row>
    <row r="17" spans="1:14" ht="409.5">
      <c r="A17" s="4">
        <v>7</v>
      </c>
      <c r="B17" s="6" t="s">
        <v>78</v>
      </c>
      <c r="C17" s="4" t="s">
        <v>98</v>
      </c>
      <c r="D17" s="5" t="s">
        <v>99</v>
      </c>
      <c r="E17" s="5" t="s">
        <v>39</v>
      </c>
      <c r="F17" s="4" t="s">
        <v>29</v>
      </c>
      <c r="G17" s="4" t="s">
        <v>22</v>
      </c>
      <c r="H17" s="5" t="s">
        <v>100</v>
      </c>
      <c r="I17" s="12" t="s">
        <v>90</v>
      </c>
      <c r="J17" s="29" t="s">
        <v>33</v>
      </c>
      <c r="K17" s="29">
        <v>1</v>
      </c>
      <c r="L17" s="29" t="s">
        <v>91</v>
      </c>
      <c r="M17" s="25" t="s">
        <v>101</v>
      </c>
      <c r="N17" s="30" t="s">
        <v>36</v>
      </c>
    </row>
    <row r="18" spans="1:14" ht="409.5">
      <c r="A18" s="4">
        <v>7</v>
      </c>
      <c r="B18" s="6" t="s">
        <v>78</v>
      </c>
      <c r="C18" s="4" t="s">
        <v>102</v>
      </c>
      <c r="D18" s="5" t="s">
        <v>103</v>
      </c>
      <c r="E18" s="5" t="s">
        <v>39</v>
      </c>
      <c r="F18" s="4" t="s">
        <v>29</v>
      </c>
      <c r="G18" s="4" t="s">
        <v>30</v>
      </c>
      <c r="H18" s="5" t="s">
        <v>104</v>
      </c>
      <c r="I18" s="12"/>
      <c r="J18" s="29" t="s">
        <v>33</v>
      </c>
      <c r="K18" s="29">
        <v>1</v>
      </c>
      <c r="L18" s="29" t="s">
        <v>105</v>
      </c>
      <c r="M18" s="25" t="s">
        <v>101</v>
      </c>
      <c r="N18" s="30" t="s">
        <v>36</v>
      </c>
    </row>
    <row r="19" spans="1:14" ht="409.5">
      <c r="A19" s="4">
        <v>7</v>
      </c>
      <c r="B19" s="6" t="s">
        <v>78</v>
      </c>
      <c r="C19" s="4" t="s">
        <v>106</v>
      </c>
      <c r="D19" s="5" t="s">
        <v>107</v>
      </c>
      <c r="E19" s="5" t="s">
        <v>39</v>
      </c>
      <c r="F19" s="4" t="s">
        <v>29</v>
      </c>
      <c r="G19" s="4" t="s">
        <v>30</v>
      </c>
      <c r="H19" s="5" t="s">
        <v>108</v>
      </c>
      <c r="I19" s="12"/>
      <c r="J19" s="29" t="s">
        <v>33</v>
      </c>
      <c r="K19" s="29">
        <v>1</v>
      </c>
      <c r="L19" s="29" t="s">
        <v>109</v>
      </c>
      <c r="M19" s="25" t="s">
        <v>101</v>
      </c>
      <c r="N19" s="30" t="s">
        <v>36</v>
      </c>
    </row>
    <row r="20" spans="1:14" ht="356.45">
      <c r="A20" s="4">
        <v>7</v>
      </c>
      <c r="B20" s="6" t="s">
        <v>78</v>
      </c>
      <c r="C20" s="4" t="s">
        <v>110</v>
      </c>
      <c r="D20" s="5" t="s">
        <v>111</v>
      </c>
      <c r="E20" s="5" t="s">
        <v>61</v>
      </c>
      <c r="F20" s="4" t="s">
        <v>29</v>
      </c>
      <c r="G20" s="4" t="s">
        <v>112</v>
      </c>
      <c r="H20" s="7" t="s">
        <v>56</v>
      </c>
      <c r="I20" s="12"/>
      <c r="J20" s="29" t="s">
        <v>46</v>
      </c>
      <c r="K20" s="29">
        <v>1</v>
      </c>
      <c r="L20" s="29" t="s">
        <v>113</v>
      </c>
      <c r="M20" s="25" t="s">
        <v>48</v>
      </c>
      <c r="N20" s="30" t="s">
        <v>18</v>
      </c>
    </row>
    <row r="21" spans="1:14" ht="409.5">
      <c r="A21" s="4">
        <v>7</v>
      </c>
      <c r="B21" s="6" t="s">
        <v>78</v>
      </c>
      <c r="C21" s="4" t="s">
        <v>114</v>
      </c>
      <c r="D21" s="5" t="s">
        <v>115</v>
      </c>
      <c r="E21" s="5" t="s">
        <v>20</v>
      </c>
      <c r="F21" s="4" t="s">
        <v>116</v>
      </c>
      <c r="G21" s="4" t="s">
        <v>30</v>
      </c>
      <c r="H21" s="5" t="s">
        <v>117</v>
      </c>
      <c r="I21" s="12"/>
      <c r="J21" s="29" t="s">
        <v>33</v>
      </c>
      <c r="K21" s="29">
        <v>1</v>
      </c>
      <c r="L21" s="29" t="s">
        <v>118</v>
      </c>
      <c r="M21" s="25" t="s">
        <v>119</v>
      </c>
      <c r="N21" s="30" t="s">
        <v>36</v>
      </c>
    </row>
    <row r="22" spans="1:14" ht="409.5">
      <c r="A22" s="4">
        <v>7</v>
      </c>
      <c r="B22" s="6" t="s">
        <v>78</v>
      </c>
      <c r="C22" s="4" t="s">
        <v>120</v>
      </c>
      <c r="D22" s="5" t="s">
        <v>121</v>
      </c>
      <c r="E22" s="5" t="s">
        <v>39</v>
      </c>
      <c r="F22" s="4" t="s">
        <v>29</v>
      </c>
      <c r="G22" s="4" t="s">
        <v>30</v>
      </c>
      <c r="H22" s="5" t="s">
        <v>122</v>
      </c>
      <c r="I22" s="12"/>
      <c r="J22" s="29" t="s">
        <v>33</v>
      </c>
      <c r="K22" s="29">
        <v>1</v>
      </c>
      <c r="L22" s="29" t="s">
        <v>123</v>
      </c>
      <c r="M22" s="25" t="s">
        <v>101</v>
      </c>
      <c r="N22" s="30" t="s">
        <v>36</v>
      </c>
    </row>
    <row r="23" spans="1:14" ht="409.5">
      <c r="A23" s="4">
        <v>7</v>
      </c>
      <c r="B23" s="6" t="s">
        <v>78</v>
      </c>
      <c r="C23" s="4" t="s">
        <v>124</v>
      </c>
      <c r="D23" s="5" t="s">
        <v>125</v>
      </c>
      <c r="E23" s="5" t="s">
        <v>39</v>
      </c>
      <c r="F23" s="31" t="s">
        <v>29</v>
      </c>
      <c r="G23" s="31"/>
      <c r="H23" s="5" t="s">
        <v>126</v>
      </c>
      <c r="I23" s="12" t="s">
        <v>127</v>
      </c>
      <c r="J23" s="29" t="s">
        <v>33</v>
      </c>
      <c r="K23" s="29">
        <v>1</v>
      </c>
      <c r="L23" s="29"/>
      <c r="M23" s="25" t="s">
        <v>35</v>
      </c>
      <c r="N23" s="30" t="s">
        <v>36</v>
      </c>
    </row>
    <row r="24" spans="1:14" ht="356.45">
      <c r="A24" s="4">
        <v>7</v>
      </c>
      <c r="B24" s="6" t="s">
        <v>78</v>
      </c>
      <c r="C24" s="4" t="s">
        <v>128</v>
      </c>
      <c r="D24" s="5" t="s">
        <v>129</v>
      </c>
      <c r="E24" s="5" t="s">
        <v>61</v>
      </c>
      <c r="F24" s="4" t="s">
        <v>29</v>
      </c>
      <c r="G24" s="4"/>
      <c r="H24" s="7" t="s">
        <v>56</v>
      </c>
      <c r="I24" s="12"/>
      <c r="J24" s="29" t="s">
        <v>46</v>
      </c>
      <c r="K24" s="29">
        <v>1</v>
      </c>
      <c r="L24" s="29"/>
      <c r="M24" s="25" t="s">
        <v>48</v>
      </c>
      <c r="N24" s="30" t="s">
        <v>18</v>
      </c>
    </row>
    <row r="25" spans="1:14" ht="387.6">
      <c r="A25" s="4">
        <v>7</v>
      </c>
      <c r="B25" s="6" t="s">
        <v>78</v>
      </c>
      <c r="C25" s="4" t="s">
        <v>130</v>
      </c>
      <c r="D25" s="5" t="s">
        <v>131</v>
      </c>
      <c r="E25" s="5" t="s">
        <v>39</v>
      </c>
      <c r="F25" s="4" t="s">
        <v>29</v>
      </c>
      <c r="G25" s="4"/>
      <c r="H25" s="5" t="s">
        <v>132</v>
      </c>
      <c r="I25" s="12"/>
      <c r="J25" s="29" t="s">
        <v>46</v>
      </c>
      <c r="K25" s="29">
        <v>1</v>
      </c>
      <c r="L25" s="29"/>
      <c r="M25" s="25" t="s">
        <v>48</v>
      </c>
      <c r="N25" s="30" t="s">
        <v>36</v>
      </c>
    </row>
    <row r="26" spans="1:14" ht="409.5">
      <c r="A26" s="4">
        <v>7</v>
      </c>
      <c r="B26" s="6" t="s">
        <v>78</v>
      </c>
      <c r="C26" s="4" t="s">
        <v>133</v>
      </c>
      <c r="D26" s="5" t="s">
        <v>134</v>
      </c>
      <c r="E26" s="5" t="s">
        <v>61</v>
      </c>
      <c r="F26" s="31" t="s">
        <v>29</v>
      </c>
      <c r="G26" s="31"/>
      <c r="H26" s="5" t="s">
        <v>135</v>
      </c>
      <c r="I26" s="12" t="s">
        <v>136</v>
      </c>
      <c r="J26" s="29" t="s">
        <v>46</v>
      </c>
      <c r="K26" s="29">
        <v>1</v>
      </c>
      <c r="L26" s="29"/>
      <c r="M26" s="25" t="s">
        <v>96</v>
      </c>
      <c r="N26" s="30" t="s">
        <v>36</v>
      </c>
    </row>
    <row r="27" spans="1:14" ht="409.5">
      <c r="A27" s="4">
        <v>7</v>
      </c>
      <c r="B27" s="6" t="s">
        <v>78</v>
      </c>
      <c r="C27" s="4" t="s">
        <v>137</v>
      </c>
      <c r="D27" s="5" t="s">
        <v>138</v>
      </c>
      <c r="E27" s="5" t="s">
        <v>61</v>
      </c>
      <c r="F27" s="4" t="s">
        <v>29</v>
      </c>
      <c r="G27" s="4"/>
      <c r="H27" s="7" t="s">
        <v>56</v>
      </c>
      <c r="I27" s="12"/>
      <c r="J27" s="29" t="s">
        <v>46</v>
      </c>
      <c r="K27" s="29">
        <v>1</v>
      </c>
      <c r="L27" s="29"/>
      <c r="M27" s="25" t="s">
        <v>48</v>
      </c>
      <c r="N27" s="30" t="s">
        <v>18</v>
      </c>
    </row>
    <row r="28" spans="1:14" ht="409.5">
      <c r="A28" s="4">
        <v>7</v>
      </c>
      <c r="B28" s="6" t="s">
        <v>78</v>
      </c>
      <c r="C28" s="4" t="s">
        <v>139</v>
      </c>
      <c r="D28" s="5" t="s">
        <v>140</v>
      </c>
      <c r="E28" s="5" t="s">
        <v>39</v>
      </c>
      <c r="F28" s="4" t="s">
        <v>29</v>
      </c>
      <c r="G28" s="4"/>
      <c r="H28" s="5" t="s">
        <v>141</v>
      </c>
      <c r="I28" s="12"/>
      <c r="J28" s="29" t="s">
        <v>33</v>
      </c>
      <c r="K28" s="29">
        <v>1</v>
      </c>
      <c r="L28" s="29"/>
      <c r="M28" s="25" t="s">
        <v>101</v>
      </c>
      <c r="N28" s="30" t="s">
        <v>36</v>
      </c>
    </row>
    <row r="29" spans="1:14" ht="341.1">
      <c r="A29" s="4">
        <v>8</v>
      </c>
      <c r="B29" s="6" t="s">
        <v>78</v>
      </c>
      <c r="C29" s="4" t="s">
        <v>143</v>
      </c>
      <c r="D29" s="5" t="s">
        <v>144</v>
      </c>
      <c r="E29" s="5" t="s">
        <v>39</v>
      </c>
      <c r="F29" s="4" t="s">
        <v>29</v>
      </c>
      <c r="G29" s="4"/>
      <c r="H29" s="5" t="s">
        <v>145</v>
      </c>
      <c r="I29" s="12"/>
      <c r="J29" s="29" t="s">
        <v>33</v>
      </c>
      <c r="K29" s="29">
        <v>1</v>
      </c>
      <c r="L29" s="29"/>
      <c r="M29" s="25" t="s">
        <v>101</v>
      </c>
      <c r="N29" s="30" t="s">
        <v>18</v>
      </c>
    </row>
    <row r="30" spans="1:14" ht="409.5">
      <c r="A30" s="4">
        <v>8</v>
      </c>
      <c r="B30" s="6" t="s">
        <v>78</v>
      </c>
      <c r="C30" s="4" t="s">
        <v>146</v>
      </c>
      <c r="D30" s="5" t="s">
        <v>147</v>
      </c>
      <c r="E30" s="5" t="s">
        <v>39</v>
      </c>
      <c r="F30" s="31" t="s">
        <v>29</v>
      </c>
      <c r="G30" s="31"/>
      <c r="H30" s="5" t="s">
        <v>148</v>
      </c>
      <c r="I30" s="12"/>
      <c r="J30" s="29" t="s">
        <v>33</v>
      </c>
      <c r="K30" s="29">
        <v>1</v>
      </c>
      <c r="L30" s="29"/>
      <c r="M30" s="25" t="s">
        <v>81</v>
      </c>
      <c r="N30" s="30" t="s">
        <v>36</v>
      </c>
    </row>
    <row r="31" spans="1:14" ht="309.95">
      <c r="A31" s="4">
        <v>8</v>
      </c>
      <c r="B31" s="6" t="s">
        <v>78</v>
      </c>
      <c r="C31" s="4" t="s">
        <v>149</v>
      </c>
      <c r="D31" s="5" t="s">
        <v>150</v>
      </c>
      <c r="E31" s="5" t="s">
        <v>39</v>
      </c>
      <c r="F31" s="4" t="s">
        <v>29</v>
      </c>
      <c r="G31" s="4"/>
      <c r="H31" s="5" t="s">
        <v>151</v>
      </c>
      <c r="I31" s="12"/>
      <c r="J31" s="29" t="s">
        <v>33</v>
      </c>
      <c r="K31" s="29">
        <v>1</v>
      </c>
      <c r="L31" s="29"/>
      <c r="M31" s="25" t="s">
        <v>92</v>
      </c>
      <c r="N31" s="30" t="s">
        <v>36</v>
      </c>
    </row>
    <row r="32" spans="1:14" ht="409.5">
      <c r="A32" s="4">
        <v>8</v>
      </c>
      <c r="B32" s="6" t="s">
        <v>78</v>
      </c>
      <c r="C32" s="4" t="s">
        <v>152</v>
      </c>
      <c r="D32" s="5" t="s">
        <v>153</v>
      </c>
      <c r="E32" s="5" t="s">
        <v>61</v>
      </c>
      <c r="F32" s="4" t="s">
        <v>29</v>
      </c>
      <c r="G32" s="4"/>
      <c r="H32" s="5" t="s">
        <v>94</v>
      </c>
      <c r="I32" s="12"/>
      <c r="J32" s="29" t="s">
        <v>46</v>
      </c>
      <c r="K32" s="29">
        <v>1</v>
      </c>
      <c r="L32" s="29"/>
      <c r="M32" s="25" t="s">
        <v>96</v>
      </c>
      <c r="N32" s="30" t="s">
        <v>36</v>
      </c>
    </row>
    <row r="33" spans="1:14" ht="409.5">
      <c r="A33" s="4">
        <v>8</v>
      </c>
      <c r="B33" s="6" t="s">
        <v>78</v>
      </c>
      <c r="C33" s="4" t="s">
        <v>154</v>
      </c>
      <c r="D33" s="5" t="s">
        <v>155</v>
      </c>
      <c r="E33" s="5" t="s">
        <v>39</v>
      </c>
      <c r="F33" s="4" t="s">
        <v>29</v>
      </c>
      <c r="G33" s="4"/>
      <c r="H33" s="5" t="s">
        <v>89</v>
      </c>
      <c r="I33" s="12" t="s">
        <v>90</v>
      </c>
      <c r="J33" s="29" t="s">
        <v>33</v>
      </c>
      <c r="K33" s="29">
        <v>1</v>
      </c>
      <c r="L33" s="29"/>
      <c r="M33" s="25" t="s">
        <v>92</v>
      </c>
      <c r="N33" s="30" t="s">
        <v>36</v>
      </c>
    </row>
    <row r="34" spans="1:14" ht="409.5">
      <c r="A34" s="4">
        <v>8</v>
      </c>
      <c r="B34" s="6" t="s">
        <v>78</v>
      </c>
      <c r="C34" s="4" t="s">
        <v>156</v>
      </c>
      <c r="D34" s="5" t="s">
        <v>157</v>
      </c>
      <c r="E34" s="5" t="s">
        <v>39</v>
      </c>
      <c r="F34" s="4" t="s">
        <v>29</v>
      </c>
      <c r="G34" s="4"/>
      <c r="H34" s="5" t="s">
        <v>108</v>
      </c>
      <c r="I34" s="12"/>
      <c r="J34" s="29" t="s">
        <v>33</v>
      </c>
      <c r="K34" s="29">
        <v>1</v>
      </c>
      <c r="L34" s="29"/>
      <c r="M34" s="25" t="s">
        <v>101</v>
      </c>
      <c r="N34" s="30" t="s">
        <v>36</v>
      </c>
    </row>
    <row r="35" spans="1:14" ht="409.5">
      <c r="A35" s="4">
        <v>8</v>
      </c>
      <c r="B35" s="6" t="s">
        <v>78</v>
      </c>
      <c r="C35" s="4" t="s">
        <v>158</v>
      </c>
      <c r="D35" s="5" t="s">
        <v>159</v>
      </c>
      <c r="E35" s="5" t="s">
        <v>61</v>
      </c>
      <c r="F35" s="31" t="s">
        <v>29</v>
      </c>
      <c r="G35" s="31"/>
      <c r="H35" s="5" t="s">
        <v>135</v>
      </c>
      <c r="I35" s="12" t="s">
        <v>136</v>
      </c>
      <c r="J35" s="29" t="s">
        <v>46</v>
      </c>
      <c r="K35" s="29">
        <v>1</v>
      </c>
      <c r="L35" s="29"/>
      <c r="M35" s="25" t="s">
        <v>96</v>
      </c>
      <c r="N35" s="30" t="s">
        <v>36</v>
      </c>
    </row>
    <row r="36" spans="1:14" ht="372">
      <c r="A36" s="4">
        <v>8</v>
      </c>
      <c r="B36" s="6" t="s">
        <v>78</v>
      </c>
      <c r="C36" s="4" t="s">
        <v>160</v>
      </c>
      <c r="D36" s="5" t="s">
        <v>161</v>
      </c>
      <c r="E36" s="5" t="s">
        <v>39</v>
      </c>
      <c r="F36" s="4" t="s">
        <v>29</v>
      </c>
      <c r="G36" s="4"/>
      <c r="H36" s="5" t="s">
        <v>162</v>
      </c>
      <c r="I36" s="12"/>
      <c r="J36" s="29" t="s">
        <v>33</v>
      </c>
      <c r="K36" s="29">
        <v>1</v>
      </c>
      <c r="L36" s="29"/>
      <c r="M36" s="25" t="s">
        <v>101</v>
      </c>
      <c r="N36" s="30" t="s">
        <v>36</v>
      </c>
    </row>
    <row r="37" spans="1:14" ht="409.5">
      <c r="A37" s="4">
        <v>8</v>
      </c>
      <c r="B37" s="6" t="s">
        <v>78</v>
      </c>
      <c r="C37" s="4" t="s">
        <v>163</v>
      </c>
      <c r="D37" s="5" t="s">
        <v>1122</v>
      </c>
      <c r="E37" s="5" t="s">
        <v>20</v>
      </c>
      <c r="F37" s="4" t="s">
        <v>29</v>
      </c>
      <c r="G37" s="4"/>
      <c r="H37" s="5" t="s">
        <v>164</v>
      </c>
      <c r="I37" s="12"/>
      <c r="J37" s="29" t="s">
        <v>33</v>
      </c>
      <c r="K37" s="29">
        <v>1</v>
      </c>
      <c r="L37" s="29"/>
      <c r="M37" s="25" t="s">
        <v>165</v>
      </c>
      <c r="N37" s="30" t="s">
        <v>18</v>
      </c>
    </row>
    <row r="38" spans="1:14" ht="409.5">
      <c r="A38" s="4">
        <v>8</v>
      </c>
      <c r="B38" s="6" t="s">
        <v>78</v>
      </c>
      <c r="C38" s="4" t="s">
        <v>166</v>
      </c>
      <c r="D38" s="5" t="s">
        <v>167</v>
      </c>
      <c r="E38" s="5" t="s">
        <v>20</v>
      </c>
      <c r="F38" s="4" t="s">
        <v>29</v>
      </c>
      <c r="G38" s="4"/>
      <c r="H38" s="5" t="s">
        <v>168</v>
      </c>
      <c r="I38" s="12"/>
      <c r="J38" s="29" t="s">
        <v>33</v>
      </c>
      <c r="K38" s="29">
        <v>1</v>
      </c>
      <c r="L38" s="29"/>
      <c r="M38" s="25" t="s">
        <v>165</v>
      </c>
      <c r="N38" s="30" t="s">
        <v>18</v>
      </c>
    </row>
    <row r="39" spans="1:14" ht="409.5">
      <c r="A39" s="4">
        <v>8</v>
      </c>
      <c r="B39" s="6" t="s">
        <v>78</v>
      </c>
      <c r="C39" s="4" t="s">
        <v>169</v>
      </c>
      <c r="D39" s="5" t="s">
        <v>170</v>
      </c>
      <c r="E39" s="5" t="s">
        <v>39</v>
      </c>
      <c r="F39" s="4" t="s">
        <v>29</v>
      </c>
      <c r="G39" s="4"/>
      <c r="H39" s="5" t="s">
        <v>171</v>
      </c>
      <c r="I39" s="12"/>
      <c r="J39" s="29" t="s">
        <v>33</v>
      </c>
      <c r="K39" s="29">
        <v>1</v>
      </c>
      <c r="L39" s="29"/>
      <c r="M39" s="25" t="s">
        <v>101</v>
      </c>
      <c r="N39" s="30" t="s">
        <v>36</v>
      </c>
    </row>
    <row r="40" spans="1:14" ht="409.5">
      <c r="A40" s="4">
        <v>8</v>
      </c>
      <c r="B40" s="6" t="s">
        <v>78</v>
      </c>
      <c r="C40" s="4" t="s">
        <v>172</v>
      </c>
      <c r="D40" s="5" t="s">
        <v>173</v>
      </c>
      <c r="E40" s="5" t="s">
        <v>39</v>
      </c>
      <c r="F40" s="4" t="s">
        <v>29</v>
      </c>
      <c r="G40" s="4"/>
      <c r="H40" s="5" t="s">
        <v>171</v>
      </c>
      <c r="I40" s="12"/>
      <c r="J40" s="29" t="s">
        <v>33</v>
      </c>
      <c r="K40" s="29">
        <v>1</v>
      </c>
      <c r="L40" s="29" t="s">
        <v>174</v>
      </c>
      <c r="M40" s="25" t="s">
        <v>101</v>
      </c>
      <c r="N40" s="30" t="s">
        <v>36</v>
      </c>
    </row>
    <row r="41" spans="1:14" ht="409.5">
      <c r="A41" s="4">
        <v>8</v>
      </c>
      <c r="B41" s="6" t="s">
        <v>78</v>
      </c>
      <c r="C41" s="4" t="s">
        <v>175</v>
      </c>
      <c r="D41" s="5" t="s">
        <v>176</v>
      </c>
      <c r="E41" s="5" t="s">
        <v>39</v>
      </c>
      <c r="F41" s="4" t="s">
        <v>29</v>
      </c>
      <c r="G41" s="4"/>
      <c r="H41" s="5" t="s">
        <v>171</v>
      </c>
      <c r="I41" s="12"/>
      <c r="J41" s="29" t="s">
        <v>33</v>
      </c>
      <c r="K41" s="29">
        <v>1</v>
      </c>
      <c r="L41" s="29" t="s">
        <v>174</v>
      </c>
      <c r="M41" s="25" t="s">
        <v>101</v>
      </c>
      <c r="N41" s="30" t="s">
        <v>36</v>
      </c>
    </row>
    <row r="42" spans="1:14" ht="409.5">
      <c r="A42" s="4">
        <v>9</v>
      </c>
      <c r="B42" s="6" t="s">
        <v>177</v>
      </c>
      <c r="C42" s="4" t="s">
        <v>178</v>
      </c>
      <c r="D42" s="5" t="s">
        <v>179</v>
      </c>
      <c r="E42" s="5" t="s">
        <v>39</v>
      </c>
      <c r="F42" s="34" t="s">
        <v>29</v>
      </c>
      <c r="G42" s="34"/>
      <c r="H42" s="5" t="s">
        <v>180</v>
      </c>
      <c r="I42" s="12"/>
      <c r="J42" s="29" t="s">
        <v>33</v>
      </c>
      <c r="K42" s="29">
        <v>1</v>
      </c>
      <c r="L42" s="29" t="s">
        <v>181</v>
      </c>
      <c r="M42" s="25" t="s">
        <v>81</v>
      </c>
      <c r="N42" s="30" t="s">
        <v>36</v>
      </c>
    </row>
    <row r="43" spans="1:14" ht="409.5">
      <c r="A43" s="4">
        <v>9</v>
      </c>
      <c r="B43" s="6" t="s">
        <v>177</v>
      </c>
      <c r="C43" s="4" t="s">
        <v>182</v>
      </c>
      <c r="D43" s="5" t="s">
        <v>183</v>
      </c>
      <c r="E43" s="5" t="s">
        <v>39</v>
      </c>
      <c r="F43" s="4" t="s">
        <v>29</v>
      </c>
      <c r="G43" s="4"/>
      <c r="H43" s="5" t="s">
        <v>184</v>
      </c>
      <c r="I43" s="12"/>
      <c r="J43" s="29" t="s">
        <v>33</v>
      </c>
      <c r="K43" s="29">
        <v>1</v>
      </c>
      <c r="L43" s="29" t="s">
        <v>181</v>
      </c>
      <c r="M43" s="25" t="s">
        <v>101</v>
      </c>
      <c r="N43" s="30" t="s">
        <v>36</v>
      </c>
    </row>
    <row r="44" spans="1:14" ht="387.6">
      <c r="A44" s="4">
        <v>9</v>
      </c>
      <c r="B44" s="6" t="s">
        <v>177</v>
      </c>
      <c r="C44" s="4" t="s">
        <v>185</v>
      </c>
      <c r="D44" s="5" t="s">
        <v>186</v>
      </c>
      <c r="E44" s="5" t="s">
        <v>39</v>
      </c>
      <c r="F44" s="4" t="s">
        <v>29</v>
      </c>
      <c r="G44" s="4"/>
      <c r="H44" s="5" t="s">
        <v>184</v>
      </c>
      <c r="I44" s="12"/>
      <c r="J44" s="29" t="s">
        <v>33</v>
      </c>
      <c r="K44" s="29">
        <v>1</v>
      </c>
      <c r="L44" s="29" t="s">
        <v>181</v>
      </c>
      <c r="M44" s="25" t="s">
        <v>101</v>
      </c>
      <c r="N44" s="30" t="s">
        <v>36</v>
      </c>
    </row>
    <row r="45" spans="1:14" ht="387.6">
      <c r="A45" s="4">
        <v>9</v>
      </c>
      <c r="B45" s="6" t="s">
        <v>177</v>
      </c>
      <c r="C45" s="4" t="s">
        <v>187</v>
      </c>
      <c r="D45" s="5" t="s">
        <v>188</v>
      </c>
      <c r="E45" s="5" t="s">
        <v>39</v>
      </c>
      <c r="F45" s="4" t="s">
        <v>29</v>
      </c>
      <c r="G45" s="4"/>
      <c r="H45" s="5" t="s">
        <v>184</v>
      </c>
      <c r="I45" s="12"/>
      <c r="J45" s="29" t="s">
        <v>33</v>
      </c>
      <c r="K45" s="29">
        <v>1</v>
      </c>
      <c r="L45" s="29" t="s">
        <v>181</v>
      </c>
      <c r="M45" s="25" t="s">
        <v>101</v>
      </c>
      <c r="N45" s="30" t="s">
        <v>36</v>
      </c>
    </row>
    <row r="46" spans="1:14" ht="409.5">
      <c r="A46" s="4">
        <v>9</v>
      </c>
      <c r="B46" s="6" t="s">
        <v>177</v>
      </c>
      <c r="C46" s="4" t="s">
        <v>189</v>
      </c>
      <c r="D46" s="5" t="s">
        <v>190</v>
      </c>
      <c r="E46" s="5" t="s">
        <v>39</v>
      </c>
      <c r="F46" s="4" t="s">
        <v>29</v>
      </c>
      <c r="G46" s="4"/>
      <c r="H46" s="5" t="s">
        <v>191</v>
      </c>
      <c r="I46" s="12"/>
      <c r="J46" s="29" t="s">
        <v>33</v>
      </c>
      <c r="K46" s="29">
        <v>1</v>
      </c>
      <c r="L46" s="25" t="s">
        <v>101</v>
      </c>
      <c r="M46" s="25" t="s">
        <v>101</v>
      </c>
      <c r="N46" s="30" t="s">
        <v>36</v>
      </c>
    </row>
    <row r="47" spans="1:14" ht="409.5">
      <c r="A47" s="4">
        <v>9</v>
      </c>
      <c r="B47" s="6" t="s">
        <v>177</v>
      </c>
      <c r="C47" s="4" t="s">
        <v>192</v>
      </c>
      <c r="D47" s="5" t="s">
        <v>193</v>
      </c>
      <c r="E47" s="5" t="s">
        <v>20</v>
      </c>
      <c r="F47" s="34" t="s">
        <v>29</v>
      </c>
      <c r="G47" s="34"/>
      <c r="H47" s="5" t="s">
        <v>194</v>
      </c>
      <c r="I47" s="12" t="s">
        <v>195</v>
      </c>
      <c r="J47" s="29" t="s">
        <v>33</v>
      </c>
      <c r="K47" s="29">
        <v>1</v>
      </c>
      <c r="L47" s="29"/>
      <c r="M47" s="25" t="s">
        <v>196</v>
      </c>
      <c r="N47" s="30" t="s">
        <v>36</v>
      </c>
    </row>
    <row r="48" spans="1:14" ht="409.5">
      <c r="A48" s="4">
        <v>10</v>
      </c>
      <c r="B48" s="6" t="s">
        <v>177</v>
      </c>
      <c r="C48" s="4" t="s">
        <v>198</v>
      </c>
      <c r="D48" s="5" t="s">
        <v>199</v>
      </c>
      <c r="E48" s="5" t="s">
        <v>20</v>
      </c>
      <c r="F48" s="4" t="s">
        <v>29</v>
      </c>
      <c r="G48" s="4"/>
      <c r="H48" s="5" t="s">
        <v>200</v>
      </c>
      <c r="I48" s="12" t="s">
        <v>201</v>
      </c>
      <c r="J48" s="29" t="s">
        <v>33</v>
      </c>
      <c r="K48" s="29">
        <v>1</v>
      </c>
      <c r="L48" s="29"/>
      <c r="M48" s="25" t="s">
        <v>196</v>
      </c>
      <c r="N48" s="30" t="s">
        <v>36</v>
      </c>
    </row>
    <row r="49" spans="1:14" ht="409.5">
      <c r="A49" s="4">
        <v>10</v>
      </c>
      <c r="B49" s="6" t="s">
        <v>177</v>
      </c>
      <c r="C49" s="4" t="s">
        <v>203</v>
      </c>
      <c r="D49" s="5" t="s">
        <v>204</v>
      </c>
      <c r="E49" s="5" t="s">
        <v>20</v>
      </c>
      <c r="F49" s="34" t="s">
        <v>29</v>
      </c>
      <c r="G49" s="34"/>
      <c r="H49" s="5" t="s">
        <v>194</v>
      </c>
      <c r="I49" s="12" t="s">
        <v>205</v>
      </c>
      <c r="J49" s="29" t="s">
        <v>33</v>
      </c>
      <c r="K49" s="29">
        <v>1</v>
      </c>
      <c r="L49" s="29"/>
      <c r="M49" s="25" t="s">
        <v>196</v>
      </c>
      <c r="N49" s="30" t="s">
        <v>36</v>
      </c>
    </row>
    <row r="50" spans="1:14" ht="409.5">
      <c r="A50" s="4">
        <v>10</v>
      </c>
      <c r="B50" s="6" t="s">
        <v>177</v>
      </c>
      <c r="C50" s="4" t="s">
        <v>206</v>
      </c>
      <c r="D50" s="5" t="s">
        <v>207</v>
      </c>
      <c r="E50" s="5" t="s">
        <v>20</v>
      </c>
      <c r="F50" s="34" t="s">
        <v>29</v>
      </c>
      <c r="G50" s="34"/>
      <c r="H50" s="5" t="s">
        <v>194</v>
      </c>
      <c r="I50" s="12" t="s">
        <v>208</v>
      </c>
      <c r="J50" s="29" t="s">
        <v>33</v>
      </c>
      <c r="K50" s="29">
        <v>1</v>
      </c>
      <c r="L50" s="29"/>
      <c r="M50" s="25" t="s">
        <v>196</v>
      </c>
      <c r="N50" s="30" t="s">
        <v>36</v>
      </c>
    </row>
    <row r="51" spans="1:14" ht="409.5">
      <c r="A51" s="4">
        <v>10</v>
      </c>
      <c r="B51" s="6" t="s">
        <v>177</v>
      </c>
      <c r="C51" s="4" t="s">
        <v>210</v>
      </c>
      <c r="D51" s="5" t="s">
        <v>211</v>
      </c>
      <c r="E51" s="35" t="s">
        <v>39</v>
      </c>
      <c r="F51" s="4" t="s">
        <v>29</v>
      </c>
      <c r="G51" s="4"/>
      <c r="H51" s="5" t="s">
        <v>212</v>
      </c>
      <c r="I51" s="12"/>
      <c r="J51" s="29" t="s">
        <v>33</v>
      </c>
      <c r="K51" s="29">
        <v>1</v>
      </c>
      <c r="L51" s="29"/>
      <c r="M51" s="25" t="s">
        <v>101</v>
      </c>
      <c r="N51" s="30" t="s">
        <v>36</v>
      </c>
    </row>
    <row r="52" spans="1:14" ht="409.5">
      <c r="A52" s="4">
        <v>10</v>
      </c>
      <c r="B52" s="6" t="s">
        <v>177</v>
      </c>
      <c r="C52" s="4" t="s">
        <v>213</v>
      </c>
      <c r="D52" s="5" t="s">
        <v>214</v>
      </c>
      <c r="E52" s="5" t="s">
        <v>39</v>
      </c>
      <c r="F52" s="4" t="s">
        <v>29</v>
      </c>
      <c r="G52" s="4"/>
      <c r="H52" s="5" t="s">
        <v>212</v>
      </c>
      <c r="I52" s="12"/>
      <c r="J52" s="29" t="s">
        <v>33</v>
      </c>
      <c r="K52" s="29">
        <v>1</v>
      </c>
      <c r="L52" s="29"/>
      <c r="M52" s="25" t="s">
        <v>101</v>
      </c>
      <c r="N52" s="30" t="s">
        <v>36</v>
      </c>
    </row>
    <row r="53" spans="1:14" ht="409.5">
      <c r="A53" s="4">
        <v>10</v>
      </c>
      <c r="B53" s="6" t="s">
        <v>177</v>
      </c>
      <c r="C53" s="4" t="s">
        <v>215</v>
      </c>
      <c r="D53" s="5" t="s">
        <v>216</v>
      </c>
      <c r="E53" s="5" t="s">
        <v>39</v>
      </c>
      <c r="F53" s="4" t="s">
        <v>29</v>
      </c>
      <c r="G53" s="4"/>
      <c r="H53" s="5" t="s">
        <v>212</v>
      </c>
      <c r="I53" s="12"/>
      <c r="J53" s="29" t="s">
        <v>33</v>
      </c>
      <c r="K53" s="29">
        <v>1</v>
      </c>
      <c r="L53" s="29"/>
      <c r="M53" s="25" t="s">
        <v>101</v>
      </c>
      <c r="N53" s="30" t="s">
        <v>36</v>
      </c>
    </row>
    <row r="54" spans="1:14" ht="409.5">
      <c r="A54" s="4">
        <v>10</v>
      </c>
      <c r="B54" s="6" t="s">
        <v>177</v>
      </c>
      <c r="C54" s="4" t="s">
        <v>217</v>
      </c>
      <c r="D54" s="5" t="s">
        <v>218</v>
      </c>
      <c r="E54" s="5" t="s">
        <v>39</v>
      </c>
      <c r="F54" s="4" t="s">
        <v>29</v>
      </c>
      <c r="G54" s="4"/>
      <c r="H54" s="5" t="s">
        <v>212</v>
      </c>
      <c r="I54" s="12"/>
      <c r="J54" s="29" t="s">
        <v>33</v>
      </c>
      <c r="K54" s="29">
        <v>1</v>
      </c>
      <c r="L54" s="29"/>
      <c r="M54" s="25" t="s">
        <v>101</v>
      </c>
      <c r="N54" s="30" t="s">
        <v>36</v>
      </c>
    </row>
    <row r="55" spans="1:14" ht="409.5">
      <c r="A55" s="4">
        <v>10</v>
      </c>
      <c r="B55" s="6" t="s">
        <v>177</v>
      </c>
      <c r="C55" s="4" t="s">
        <v>219</v>
      </c>
      <c r="D55" s="5" t="s">
        <v>220</v>
      </c>
      <c r="E55" s="5" t="s">
        <v>39</v>
      </c>
      <c r="F55" s="4" t="s">
        <v>29</v>
      </c>
      <c r="G55" s="4"/>
      <c r="H55" s="5" t="s">
        <v>212</v>
      </c>
      <c r="I55" s="12"/>
      <c r="J55" s="29" t="s">
        <v>33</v>
      </c>
      <c r="K55" s="29">
        <v>1</v>
      </c>
      <c r="L55" s="29"/>
      <c r="M55" s="25" t="s">
        <v>101</v>
      </c>
      <c r="N55" s="30" t="s">
        <v>36</v>
      </c>
    </row>
    <row r="56" spans="1:14" ht="409.5">
      <c r="A56" s="4">
        <v>10</v>
      </c>
      <c r="B56" s="6" t="s">
        <v>177</v>
      </c>
      <c r="C56" s="4" t="s">
        <v>221</v>
      </c>
      <c r="D56" s="5" t="s">
        <v>222</v>
      </c>
      <c r="E56" s="5" t="s">
        <v>39</v>
      </c>
      <c r="F56" s="4" t="s">
        <v>29</v>
      </c>
      <c r="G56" s="4"/>
      <c r="H56" s="5" t="s">
        <v>223</v>
      </c>
      <c r="I56" s="12"/>
      <c r="J56" s="29" t="s">
        <v>33</v>
      </c>
      <c r="K56" s="29">
        <v>1</v>
      </c>
      <c r="L56" s="29"/>
      <c r="M56" s="25" t="s">
        <v>101</v>
      </c>
      <c r="N56" s="30" t="s">
        <v>36</v>
      </c>
    </row>
    <row r="57" spans="1:14" ht="356.45">
      <c r="A57" s="4">
        <v>10</v>
      </c>
      <c r="B57" s="6" t="s">
        <v>177</v>
      </c>
      <c r="C57" s="4" t="s">
        <v>224</v>
      </c>
      <c r="D57" s="5" t="s">
        <v>225</v>
      </c>
      <c r="E57" s="5" t="s">
        <v>39</v>
      </c>
      <c r="F57" s="4" t="s">
        <v>29</v>
      </c>
      <c r="G57" s="4"/>
      <c r="H57" s="5" t="s">
        <v>223</v>
      </c>
      <c r="I57" s="12"/>
      <c r="J57" s="29" t="s">
        <v>33</v>
      </c>
      <c r="K57" s="29">
        <v>1</v>
      </c>
      <c r="L57" s="29"/>
      <c r="M57" s="25" t="s">
        <v>101</v>
      </c>
      <c r="N57" s="30" t="s">
        <v>36</v>
      </c>
    </row>
    <row r="58" spans="1:14" ht="409.5">
      <c r="A58" s="4">
        <v>10</v>
      </c>
      <c r="B58" s="6" t="s">
        <v>177</v>
      </c>
      <c r="C58" s="4" t="s">
        <v>226</v>
      </c>
      <c r="D58" s="5" t="s">
        <v>227</v>
      </c>
      <c r="E58" s="5" t="s">
        <v>39</v>
      </c>
      <c r="F58" s="4" t="s">
        <v>29</v>
      </c>
      <c r="G58" s="4"/>
      <c r="H58" s="5" t="s">
        <v>223</v>
      </c>
      <c r="I58" s="12"/>
      <c r="J58" s="29" t="s">
        <v>33</v>
      </c>
      <c r="K58" s="29">
        <v>1</v>
      </c>
      <c r="L58" s="29"/>
      <c r="M58" s="25" t="s">
        <v>101</v>
      </c>
      <c r="N58" s="30" t="s">
        <v>36</v>
      </c>
    </row>
    <row r="59" spans="1:14" ht="356.45">
      <c r="A59" s="4">
        <v>10</v>
      </c>
      <c r="B59" s="6" t="s">
        <v>177</v>
      </c>
      <c r="C59" s="4" t="s">
        <v>228</v>
      </c>
      <c r="D59" s="5" t="s">
        <v>229</v>
      </c>
      <c r="E59" s="5" t="s">
        <v>39</v>
      </c>
      <c r="F59" s="4" t="s">
        <v>29</v>
      </c>
      <c r="G59" s="4"/>
      <c r="H59" s="5" t="s">
        <v>223</v>
      </c>
      <c r="I59" s="12"/>
      <c r="J59" s="29" t="s">
        <v>33</v>
      </c>
      <c r="K59" s="29">
        <v>1</v>
      </c>
      <c r="L59" s="29"/>
      <c r="M59" s="25" t="s">
        <v>101</v>
      </c>
      <c r="N59" s="30" t="s">
        <v>36</v>
      </c>
    </row>
    <row r="60" spans="1:14" ht="409.5">
      <c r="A60" s="4">
        <v>10</v>
      </c>
      <c r="B60" s="6" t="s">
        <v>177</v>
      </c>
      <c r="C60" s="4" t="s">
        <v>230</v>
      </c>
      <c r="D60" s="5" t="s">
        <v>231</v>
      </c>
      <c r="E60" s="5" t="s">
        <v>39</v>
      </c>
      <c r="F60" s="4" t="s">
        <v>29</v>
      </c>
      <c r="G60" s="4"/>
      <c r="H60" s="5" t="s">
        <v>212</v>
      </c>
      <c r="I60" s="12"/>
      <c r="J60" s="29" t="s">
        <v>33</v>
      </c>
      <c r="K60" s="29">
        <v>1</v>
      </c>
      <c r="L60" s="29"/>
      <c r="M60" s="25" t="s">
        <v>101</v>
      </c>
      <c r="N60" s="30" t="s">
        <v>36</v>
      </c>
    </row>
    <row r="61" spans="1:14" ht="409.5">
      <c r="A61" s="4">
        <v>10</v>
      </c>
      <c r="B61" s="6" t="s">
        <v>177</v>
      </c>
      <c r="C61" s="4" t="s">
        <v>232</v>
      </c>
      <c r="D61" s="5" t="s">
        <v>233</v>
      </c>
      <c r="E61" s="5" t="s">
        <v>39</v>
      </c>
      <c r="F61" s="4" t="s">
        <v>29</v>
      </c>
      <c r="G61" s="4"/>
      <c r="H61" s="5" t="s">
        <v>212</v>
      </c>
      <c r="I61" s="12"/>
      <c r="J61" s="29" t="s">
        <v>33</v>
      </c>
      <c r="K61" s="29">
        <v>1</v>
      </c>
      <c r="L61" s="29"/>
      <c r="M61" s="25" t="s">
        <v>101</v>
      </c>
      <c r="N61" s="30" t="s">
        <v>36</v>
      </c>
    </row>
    <row r="62" spans="1:14" ht="356.45">
      <c r="A62" s="4">
        <v>11</v>
      </c>
      <c r="B62" s="6" t="s">
        <v>177</v>
      </c>
      <c r="C62" s="4" t="s">
        <v>234</v>
      </c>
      <c r="D62" s="5" t="s">
        <v>235</v>
      </c>
      <c r="E62" s="5" t="s">
        <v>61</v>
      </c>
      <c r="F62" s="4" t="s">
        <v>29</v>
      </c>
      <c r="G62" s="4"/>
      <c r="H62" s="5" t="s">
        <v>236</v>
      </c>
      <c r="I62" s="12"/>
      <c r="J62" s="29" t="s">
        <v>46</v>
      </c>
      <c r="K62" s="29">
        <v>1</v>
      </c>
      <c r="L62" s="29"/>
      <c r="M62" s="25" t="s">
        <v>48</v>
      </c>
      <c r="N62" s="30" t="s">
        <v>18</v>
      </c>
    </row>
    <row r="63" spans="1:14" ht="356.45">
      <c r="A63" s="4">
        <v>11</v>
      </c>
      <c r="B63" s="6" t="s">
        <v>177</v>
      </c>
      <c r="C63" s="4" t="s">
        <v>237</v>
      </c>
      <c r="D63" s="5" t="s">
        <v>238</v>
      </c>
      <c r="E63" s="5" t="s">
        <v>61</v>
      </c>
      <c r="F63" s="4" t="s">
        <v>29</v>
      </c>
      <c r="G63" s="4"/>
      <c r="H63" s="5" t="s">
        <v>236</v>
      </c>
      <c r="I63" s="12"/>
      <c r="J63" s="29" t="s">
        <v>46</v>
      </c>
      <c r="K63" s="29">
        <v>1</v>
      </c>
      <c r="L63" s="29"/>
      <c r="M63" s="25" t="s">
        <v>48</v>
      </c>
      <c r="N63" s="30" t="s">
        <v>18</v>
      </c>
    </row>
    <row r="64" spans="1:14" ht="279">
      <c r="A64" s="42">
        <v>11</v>
      </c>
      <c r="B64" s="17" t="s">
        <v>177</v>
      </c>
      <c r="C64" s="42" t="s">
        <v>239</v>
      </c>
      <c r="D64" s="43" t="s">
        <v>240</v>
      </c>
      <c r="E64" s="43" t="s">
        <v>61</v>
      </c>
      <c r="F64" s="42" t="s">
        <v>116</v>
      </c>
      <c r="G64" s="42"/>
      <c r="H64" s="43" t="s">
        <v>241</v>
      </c>
      <c r="I64" s="19" t="s">
        <v>242</v>
      </c>
      <c r="J64" s="44" t="s">
        <v>46</v>
      </c>
      <c r="K64" s="44">
        <v>2</v>
      </c>
      <c r="L64" s="44"/>
      <c r="M64" s="45" t="s">
        <v>243</v>
      </c>
      <c r="N64" s="46" t="s">
        <v>33</v>
      </c>
    </row>
    <row r="65" spans="1:14" ht="279">
      <c r="A65" s="4">
        <v>11</v>
      </c>
      <c r="B65" s="6" t="s">
        <v>177</v>
      </c>
      <c r="C65" s="4" t="s">
        <v>245</v>
      </c>
      <c r="D65" s="5" t="s">
        <v>246</v>
      </c>
      <c r="E65" s="5" t="s">
        <v>61</v>
      </c>
      <c r="F65" s="4" t="s">
        <v>116</v>
      </c>
      <c r="G65" s="4"/>
      <c r="H65" s="5" t="s">
        <v>247</v>
      </c>
      <c r="I65" s="12" t="s">
        <v>248</v>
      </c>
      <c r="J65" s="29" t="s">
        <v>46</v>
      </c>
      <c r="K65" s="29">
        <v>2</v>
      </c>
      <c r="L65" s="29"/>
      <c r="M65" s="25" t="s">
        <v>249</v>
      </c>
      <c r="N65" s="30" t="s">
        <v>33</v>
      </c>
    </row>
    <row r="66" spans="1:14" ht="356.45">
      <c r="A66" s="4">
        <v>11</v>
      </c>
      <c r="B66" s="6" t="s">
        <v>177</v>
      </c>
      <c r="C66" s="4" t="s">
        <v>251</v>
      </c>
      <c r="D66" s="5" t="s">
        <v>252</v>
      </c>
      <c r="E66" s="5" t="s">
        <v>61</v>
      </c>
      <c r="F66" s="4" t="s">
        <v>29</v>
      </c>
      <c r="G66" s="4"/>
      <c r="H66" s="5" t="s">
        <v>236</v>
      </c>
      <c r="I66" s="12"/>
      <c r="J66" s="29" t="s">
        <v>46</v>
      </c>
      <c r="K66" s="29">
        <v>1</v>
      </c>
      <c r="L66" s="29"/>
      <c r="M66" s="25" t="s">
        <v>48</v>
      </c>
      <c r="N66" s="30" t="s">
        <v>18</v>
      </c>
    </row>
    <row r="67" spans="1:14" ht="372">
      <c r="A67" s="4">
        <v>11</v>
      </c>
      <c r="B67" s="6" t="s">
        <v>177</v>
      </c>
      <c r="C67" s="4" t="s">
        <v>253</v>
      </c>
      <c r="D67" s="5" t="s">
        <v>254</v>
      </c>
      <c r="E67" s="5" t="s">
        <v>61</v>
      </c>
      <c r="F67" s="4" t="s">
        <v>29</v>
      </c>
      <c r="G67" s="4"/>
      <c r="H67" s="5" t="s">
        <v>255</v>
      </c>
      <c r="I67" s="12"/>
      <c r="J67" s="29" t="s">
        <v>46</v>
      </c>
      <c r="K67" s="29">
        <v>1</v>
      </c>
      <c r="L67" s="29"/>
      <c r="M67" s="25" t="s">
        <v>48</v>
      </c>
      <c r="N67" s="30" t="s">
        <v>18</v>
      </c>
    </row>
    <row r="68" spans="1:14" ht="409.5">
      <c r="A68" s="4">
        <v>11</v>
      </c>
      <c r="B68" s="6" t="s">
        <v>177</v>
      </c>
      <c r="C68" s="4" t="s">
        <v>256</v>
      </c>
      <c r="D68" s="5" t="s">
        <v>257</v>
      </c>
      <c r="E68" s="5" t="s">
        <v>61</v>
      </c>
      <c r="F68" s="4" t="s">
        <v>258</v>
      </c>
      <c r="G68" s="4"/>
      <c r="H68" s="5" t="s">
        <v>259</v>
      </c>
      <c r="I68" s="12" t="s">
        <v>260</v>
      </c>
      <c r="J68" s="29" t="s">
        <v>46</v>
      </c>
      <c r="K68" s="29">
        <v>2</v>
      </c>
      <c r="L68" s="29"/>
      <c r="M68" s="25" t="s">
        <v>261</v>
      </c>
      <c r="N68" s="30" t="s">
        <v>33</v>
      </c>
    </row>
    <row r="69" spans="1:14" ht="409.5">
      <c r="A69" s="4">
        <v>11</v>
      </c>
      <c r="B69" s="6" t="s">
        <v>177</v>
      </c>
      <c r="C69" s="4" t="s">
        <v>263</v>
      </c>
      <c r="D69" s="5" t="s">
        <v>264</v>
      </c>
      <c r="E69" s="5" t="s">
        <v>61</v>
      </c>
      <c r="F69" s="4" t="s">
        <v>29</v>
      </c>
      <c r="G69" s="4"/>
      <c r="H69" s="5" t="s">
        <v>265</v>
      </c>
      <c r="I69" s="12"/>
      <c r="J69" s="29" t="s">
        <v>46</v>
      </c>
      <c r="K69" s="29">
        <v>1</v>
      </c>
      <c r="L69" s="29"/>
      <c r="M69" s="25" t="s">
        <v>48</v>
      </c>
      <c r="N69" s="30" t="s">
        <v>18</v>
      </c>
    </row>
    <row r="70" spans="1:14" ht="409.5">
      <c r="A70" s="4">
        <v>11</v>
      </c>
      <c r="B70" s="4" t="s">
        <v>266</v>
      </c>
      <c r="C70" s="4" t="s">
        <v>267</v>
      </c>
      <c r="D70" s="5" t="s">
        <v>268</v>
      </c>
      <c r="E70" s="5" t="s">
        <v>39</v>
      </c>
      <c r="F70" s="4" t="s">
        <v>29</v>
      </c>
      <c r="G70" s="4"/>
      <c r="H70" s="5" t="s">
        <v>269</v>
      </c>
      <c r="I70" s="12"/>
      <c r="J70" s="29" t="s">
        <v>33</v>
      </c>
      <c r="K70" s="29">
        <v>1</v>
      </c>
      <c r="L70" s="29"/>
      <c r="M70" s="25" t="s">
        <v>101</v>
      </c>
      <c r="N70" s="30" t="s">
        <v>36</v>
      </c>
    </row>
    <row r="71" spans="1:14" ht="409.5">
      <c r="A71" s="4">
        <v>11</v>
      </c>
      <c r="B71" s="4" t="s">
        <v>266</v>
      </c>
      <c r="C71" s="4" t="s">
        <v>270</v>
      </c>
      <c r="D71" s="5" t="s">
        <v>271</v>
      </c>
      <c r="E71" s="5" t="s">
        <v>39</v>
      </c>
      <c r="F71" s="4" t="s">
        <v>29</v>
      </c>
      <c r="G71" s="4"/>
      <c r="H71" s="5" t="s">
        <v>269</v>
      </c>
      <c r="I71" s="12"/>
      <c r="J71" s="29" t="s">
        <v>33</v>
      </c>
      <c r="K71" s="29">
        <v>1</v>
      </c>
      <c r="L71" s="29"/>
      <c r="M71" s="25" t="s">
        <v>101</v>
      </c>
      <c r="N71" s="30" t="s">
        <v>36</v>
      </c>
    </row>
    <row r="72" spans="1:14" ht="409.5">
      <c r="A72" s="4">
        <v>11</v>
      </c>
      <c r="B72" s="4" t="s">
        <v>266</v>
      </c>
      <c r="C72" s="4" t="s">
        <v>272</v>
      </c>
      <c r="D72" s="5" t="s">
        <v>273</v>
      </c>
      <c r="E72" s="5" t="s">
        <v>39</v>
      </c>
      <c r="F72" s="34" t="s">
        <v>29</v>
      </c>
      <c r="G72" s="34"/>
      <c r="H72" s="5" t="s">
        <v>274</v>
      </c>
      <c r="I72" s="12"/>
      <c r="J72" s="29" t="s">
        <v>33</v>
      </c>
      <c r="K72" s="29">
        <v>1</v>
      </c>
      <c r="L72" s="29"/>
      <c r="M72" s="25" t="s">
        <v>81</v>
      </c>
      <c r="N72" s="30" t="s">
        <v>36</v>
      </c>
    </row>
    <row r="73" spans="1:14" ht="409.5">
      <c r="A73" s="4">
        <v>11</v>
      </c>
      <c r="B73" s="4" t="s">
        <v>266</v>
      </c>
      <c r="C73" s="4" t="s">
        <v>275</v>
      </c>
      <c r="D73" s="5" t="s">
        <v>276</v>
      </c>
      <c r="E73" s="5" t="s">
        <v>61</v>
      </c>
      <c r="F73" s="4" t="s">
        <v>62</v>
      </c>
      <c r="G73" s="4"/>
      <c r="H73" s="5" t="s">
        <v>277</v>
      </c>
      <c r="I73" s="12" t="s">
        <v>278</v>
      </c>
      <c r="J73" s="29" t="s">
        <v>33</v>
      </c>
      <c r="K73" s="29">
        <v>3</v>
      </c>
      <c r="L73" s="29"/>
      <c r="M73" s="25" t="s">
        <v>279</v>
      </c>
      <c r="N73" s="30" t="s">
        <v>36</v>
      </c>
    </row>
    <row r="74" spans="1:14" ht="409.5">
      <c r="A74" s="4">
        <v>11</v>
      </c>
      <c r="B74" s="4" t="s">
        <v>266</v>
      </c>
      <c r="C74" s="4" t="s">
        <v>280</v>
      </c>
      <c r="D74" s="5" t="s">
        <v>281</v>
      </c>
      <c r="E74" s="5" t="s">
        <v>61</v>
      </c>
      <c r="F74" s="31" t="s">
        <v>29</v>
      </c>
      <c r="G74" s="31"/>
      <c r="H74" s="5" t="s">
        <v>282</v>
      </c>
      <c r="I74" s="12" t="s">
        <v>283</v>
      </c>
      <c r="J74" s="29" t="s">
        <v>46</v>
      </c>
      <c r="K74" s="29">
        <v>2</v>
      </c>
      <c r="L74" s="29"/>
      <c r="M74" s="25" t="s">
        <v>284</v>
      </c>
      <c r="N74" s="30" t="s">
        <v>36</v>
      </c>
    </row>
    <row r="75" spans="1:14" ht="409.5">
      <c r="A75" s="4">
        <v>11</v>
      </c>
      <c r="B75" s="4" t="s">
        <v>266</v>
      </c>
      <c r="C75" s="4" t="s">
        <v>285</v>
      </c>
      <c r="D75" s="5" t="s">
        <v>286</v>
      </c>
      <c r="E75" s="5" t="s">
        <v>61</v>
      </c>
      <c r="F75" s="31" t="s">
        <v>29</v>
      </c>
      <c r="G75" s="31"/>
      <c r="H75" s="5" t="s">
        <v>287</v>
      </c>
      <c r="I75" s="12" t="s">
        <v>283</v>
      </c>
      <c r="J75" s="29" t="s">
        <v>46</v>
      </c>
      <c r="K75" s="29">
        <v>2</v>
      </c>
      <c r="L75" s="29"/>
      <c r="M75" s="25" t="s">
        <v>284</v>
      </c>
      <c r="N75" s="30" t="s">
        <v>36</v>
      </c>
    </row>
    <row r="76" spans="1:14" ht="409.5">
      <c r="A76" s="4">
        <v>11</v>
      </c>
      <c r="B76" s="4" t="s">
        <v>266</v>
      </c>
      <c r="C76" s="4" t="s">
        <v>288</v>
      </c>
      <c r="D76" s="5" t="s">
        <v>289</v>
      </c>
      <c r="E76" s="5" t="s">
        <v>61</v>
      </c>
      <c r="F76" s="4" t="s">
        <v>62</v>
      </c>
      <c r="G76" s="4"/>
      <c r="H76" s="5" t="s">
        <v>290</v>
      </c>
      <c r="I76" s="12" t="s">
        <v>291</v>
      </c>
      <c r="J76" s="29" t="s">
        <v>46</v>
      </c>
      <c r="K76" s="29">
        <v>2</v>
      </c>
      <c r="L76" s="29"/>
      <c r="M76" s="25" t="s">
        <v>292</v>
      </c>
      <c r="N76" s="30" t="s">
        <v>36</v>
      </c>
    </row>
    <row r="77" spans="1:14" ht="409.5">
      <c r="A77" s="4">
        <v>12</v>
      </c>
      <c r="B77" s="4" t="s">
        <v>266</v>
      </c>
      <c r="C77" s="4" t="s">
        <v>294</v>
      </c>
      <c r="D77" s="5" t="s">
        <v>295</v>
      </c>
      <c r="E77" s="5" t="s">
        <v>61</v>
      </c>
      <c r="F77" s="4" t="s">
        <v>62</v>
      </c>
      <c r="G77" s="4"/>
      <c r="H77" s="5" t="s">
        <v>296</v>
      </c>
      <c r="I77" s="12" t="s">
        <v>297</v>
      </c>
      <c r="J77" s="29" t="s">
        <v>33</v>
      </c>
      <c r="K77" s="29">
        <v>1</v>
      </c>
      <c r="L77" s="29"/>
      <c r="M77" s="25" t="s">
        <v>298</v>
      </c>
      <c r="N77" s="30" t="s">
        <v>18</v>
      </c>
    </row>
    <row r="78" spans="1:14" ht="409.5">
      <c r="A78" s="4">
        <v>12</v>
      </c>
      <c r="B78" s="4" t="s">
        <v>266</v>
      </c>
      <c r="C78" s="4" t="s">
        <v>300</v>
      </c>
      <c r="D78" s="5" t="s">
        <v>301</v>
      </c>
      <c r="E78" s="5" t="s">
        <v>61</v>
      </c>
      <c r="F78" s="4" t="s">
        <v>62</v>
      </c>
      <c r="G78" s="4"/>
      <c r="H78" s="5" t="s">
        <v>302</v>
      </c>
      <c r="I78" s="12" t="s">
        <v>291</v>
      </c>
      <c r="J78" s="29" t="s">
        <v>46</v>
      </c>
      <c r="K78" s="29">
        <v>2</v>
      </c>
      <c r="L78" s="29"/>
      <c r="M78" s="25" t="s">
        <v>292</v>
      </c>
      <c r="N78" s="30" t="s">
        <v>36</v>
      </c>
    </row>
    <row r="79" spans="1:14" ht="409.5">
      <c r="A79" s="4">
        <v>12</v>
      </c>
      <c r="B79" s="4" t="s">
        <v>266</v>
      </c>
      <c r="C79" s="4" t="s">
        <v>303</v>
      </c>
      <c r="D79" s="5" t="s">
        <v>304</v>
      </c>
      <c r="E79" s="5" t="s">
        <v>61</v>
      </c>
      <c r="F79" s="4" t="s">
        <v>62</v>
      </c>
      <c r="G79" s="4"/>
      <c r="H79" s="5" t="s">
        <v>296</v>
      </c>
      <c r="I79" s="12" t="s">
        <v>297</v>
      </c>
      <c r="J79" s="29" t="s">
        <v>33</v>
      </c>
      <c r="K79" s="29">
        <v>1</v>
      </c>
      <c r="L79" s="29"/>
      <c r="M79" s="25" t="s">
        <v>298</v>
      </c>
      <c r="N79" s="30" t="s">
        <v>18</v>
      </c>
    </row>
    <row r="80" spans="1:14" ht="409.5">
      <c r="A80" s="4">
        <v>12</v>
      </c>
      <c r="B80" s="4" t="s">
        <v>266</v>
      </c>
      <c r="C80" s="4" t="s">
        <v>306</v>
      </c>
      <c r="D80" s="5" t="s">
        <v>1120</v>
      </c>
      <c r="E80" s="5" t="s">
        <v>61</v>
      </c>
      <c r="F80" s="4" t="s">
        <v>116</v>
      </c>
      <c r="G80" s="4"/>
      <c r="H80" s="5" t="s">
        <v>308</v>
      </c>
      <c r="I80" s="12" t="s">
        <v>45</v>
      </c>
      <c r="J80" s="29" t="s">
        <v>46</v>
      </c>
      <c r="K80" s="29">
        <v>1</v>
      </c>
      <c r="L80" s="29"/>
      <c r="M80" s="25" t="s">
        <v>309</v>
      </c>
      <c r="N80" s="30" t="s">
        <v>18</v>
      </c>
    </row>
    <row r="81" spans="1:14" ht="356.45">
      <c r="A81" s="4">
        <v>12</v>
      </c>
      <c r="B81" s="4" t="s">
        <v>266</v>
      </c>
      <c r="C81" s="4" t="s">
        <v>311</v>
      </c>
      <c r="D81" s="5" t="s">
        <v>1123</v>
      </c>
      <c r="E81" s="5" t="s">
        <v>61</v>
      </c>
      <c r="F81" s="4" t="s">
        <v>29</v>
      </c>
      <c r="G81" s="4"/>
      <c r="H81" s="5" t="s">
        <v>313</v>
      </c>
      <c r="I81" s="12"/>
      <c r="J81" s="29" t="s">
        <v>46</v>
      </c>
      <c r="K81" s="29">
        <v>1</v>
      </c>
      <c r="L81" s="29"/>
      <c r="M81" s="25" t="s">
        <v>292</v>
      </c>
      <c r="N81" s="30" t="s">
        <v>18</v>
      </c>
    </row>
    <row r="82" spans="1:14" ht="294.60000000000002">
      <c r="A82" s="4">
        <v>12</v>
      </c>
      <c r="B82" s="4" t="s">
        <v>266</v>
      </c>
      <c r="C82" s="4" t="s">
        <v>314</v>
      </c>
      <c r="D82" s="5" t="s">
        <v>1119</v>
      </c>
      <c r="E82" s="5" t="s">
        <v>61</v>
      </c>
      <c r="F82" s="4" t="s">
        <v>116</v>
      </c>
      <c r="G82" s="4"/>
      <c r="H82" s="5" t="s">
        <v>316</v>
      </c>
      <c r="I82" s="12" t="s">
        <v>317</v>
      </c>
      <c r="J82" s="29" t="s">
        <v>46</v>
      </c>
      <c r="K82" s="29">
        <v>2</v>
      </c>
      <c r="L82" s="29"/>
      <c r="M82" s="25" t="s">
        <v>318</v>
      </c>
      <c r="N82" s="30" t="s">
        <v>36</v>
      </c>
    </row>
    <row r="83" spans="1:14" ht="372">
      <c r="A83" s="4">
        <v>12</v>
      </c>
      <c r="B83" s="4" t="s">
        <v>266</v>
      </c>
      <c r="C83" s="4" t="s">
        <v>320</v>
      </c>
      <c r="D83" s="5" t="s">
        <v>1124</v>
      </c>
      <c r="E83" s="5" t="s">
        <v>61</v>
      </c>
      <c r="F83" s="4" t="s">
        <v>29</v>
      </c>
      <c r="G83" s="4"/>
      <c r="H83" s="5" t="s">
        <v>56</v>
      </c>
      <c r="I83" s="12"/>
      <c r="J83" s="29" t="s">
        <v>46</v>
      </c>
      <c r="K83" s="29">
        <v>1</v>
      </c>
      <c r="L83" s="29"/>
      <c r="M83" s="25" t="s">
        <v>322</v>
      </c>
      <c r="N83" s="30" t="s">
        <v>18</v>
      </c>
    </row>
    <row r="84" spans="1:14" ht="402.95">
      <c r="A84" s="4">
        <v>12</v>
      </c>
      <c r="B84" s="4" t="s">
        <v>266</v>
      </c>
      <c r="C84" s="4" t="s">
        <v>323</v>
      </c>
      <c r="D84" s="5" t="s">
        <v>1121</v>
      </c>
      <c r="E84" s="5" t="s">
        <v>61</v>
      </c>
      <c r="F84" s="4" t="s">
        <v>116</v>
      </c>
      <c r="G84" s="4"/>
      <c r="H84" s="5" t="s">
        <v>325</v>
      </c>
      <c r="I84" s="12" t="s">
        <v>45</v>
      </c>
      <c r="J84" s="29" t="s">
        <v>46</v>
      </c>
      <c r="K84" s="29">
        <v>1</v>
      </c>
      <c r="L84" s="29"/>
      <c r="M84" s="25" t="s">
        <v>326</v>
      </c>
      <c r="N84" s="30" t="s">
        <v>18</v>
      </c>
    </row>
    <row r="85" spans="1:14" ht="409.5">
      <c r="A85" s="4">
        <v>12</v>
      </c>
      <c r="B85" s="4" t="s">
        <v>266</v>
      </c>
      <c r="C85" s="4" t="s">
        <v>328</v>
      </c>
      <c r="D85" s="5" t="s">
        <v>1106</v>
      </c>
      <c r="E85" s="5" t="s">
        <v>39</v>
      </c>
      <c r="F85" s="31" t="s">
        <v>29</v>
      </c>
      <c r="G85" s="31"/>
      <c r="H85" s="5" t="s">
        <v>330</v>
      </c>
      <c r="I85" s="12" t="s">
        <v>331</v>
      </c>
      <c r="J85" s="29" t="s">
        <v>33</v>
      </c>
      <c r="K85" s="29">
        <v>1</v>
      </c>
      <c r="L85" s="29"/>
      <c r="M85" s="25" t="s">
        <v>35</v>
      </c>
      <c r="N85" s="30" t="s">
        <v>36</v>
      </c>
    </row>
    <row r="86" spans="1:14" ht="409.5">
      <c r="A86" s="4">
        <v>13</v>
      </c>
      <c r="B86" s="4" t="s">
        <v>266</v>
      </c>
      <c r="C86" s="4" t="s">
        <v>189</v>
      </c>
      <c r="D86" s="5" t="s">
        <v>332</v>
      </c>
      <c r="E86" s="5" t="s">
        <v>39</v>
      </c>
      <c r="F86" s="4" t="s">
        <v>29</v>
      </c>
      <c r="G86" s="4"/>
      <c r="H86" s="5" t="s">
        <v>333</v>
      </c>
      <c r="I86" s="12"/>
      <c r="J86" s="29" t="s">
        <v>33</v>
      </c>
      <c r="K86" s="29">
        <v>1</v>
      </c>
      <c r="L86" s="29"/>
      <c r="M86" s="25" t="s">
        <v>101</v>
      </c>
      <c r="N86" s="30" t="s">
        <v>36</v>
      </c>
    </row>
    <row r="87" spans="1:14" ht="409.5">
      <c r="A87" s="4">
        <v>13</v>
      </c>
      <c r="B87" s="4" t="s">
        <v>266</v>
      </c>
      <c r="C87" s="4" t="s">
        <v>334</v>
      </c>
      <c r="D87" s="5" t="s">
        <v>335</v>
      </c>
      <c r="E87" s="5" t="s">
        <v>39</v>
      </c>
      <c r="F87" s="4" t="s">
        <v>29</v>
      </c>
      <c r="G87" s="4"/>
      <c r="H87" s="5" t="s">
        <v>336</v>
      </c>
      <c r="I87" s="12"/>
      <c r="J87" s="29" t="s">
        <v>33</v>
      </c>
      <c r="K87" s="29">
        <v>1</v>
      </c>
      <c r="L87" s="29"/>
      <c r="M87" s="25" t="s">
        <v>101</v>
      </c>
      <c r="N87" s="30" t="s">
        <v>36</v>
      </c>
    </row>
    <row r="88" spans="1:14" ht="409.5">
      <c r="A88" s="4">
        <v>13</v>
      </c>
      <c r="B88" s="4" t="s">
        <v>266</v>
      </c>
      <c r="C88" s="4" t="s">
        <v>337</v>
      </c>
      <c r="D88" s="5" t="s">
        <v>338</v>
      </c>
      <c r="E88" s="5" t="s">
        <v>39</v>
      </c>
      <c r="F88" s="4" t="s">
        <v>29</v>
      </c>
      <c r="G88" s="4"/>
      <c r="H88" s="5" t="s">
        <v>339</v>
      </c>
      <c r="I88" s="12"/>
      <c r="J88" s="29" t="s">
        <v>33</v>
      </c>
      <c r="K88" s="29">
        <v>1</v>
      </c>
      <c r="L88" s="29"/>
      <c r="M88" s="25" t="s">
        <v>101</v>
      </c>
      <c r="N88" s="30" t="s">
        <v>36</v>
      </c>
    </row>
    <row r="89" spans="1:14" ht="402.95">
      <c r="A89" s="4">
        <v>13</v>
      </c>
      <c r="B89" s="4" t="s">
        <v>266</v>
      </c>
      <c r="C89" s="4" t="s">
        <v>340</v>
      </c>
      <c r="D89" s="5" t="s">
        <v>341</v>
      </c>
      <c r="E89" s="5" t="s">
        <v>39</v>
      </c>
      <c r="F89" s="4" t="s">
        <v>29</v>
      </c>
      <c r="G89" s="4"/>
      <c r="H89" s="5" t="s">
        <v>342</v>
      </c>
      <c r="I89" s="12"/>
      <c r="J89" s="29" t="s">
        <v>33</v>
      </c>
      <c r="K89" s="29">
        <v>1</v>
      </c>
      <c r="L89" s="29"/>
      <c r="M89" s="25" t="s">
        <v>101</v>
      </c>
      <c r="N89" s="30" t="s">
        <v>36</v>
      </c>
    </row>
    <row r="90" spans="1:14" ht="409.5">
      <c r="A90" s="4">
        <v>13</v>
      </c>
      <c r="B90" s="4" t="s">
        <v>266</v>
      </c>
      <c r="C90" s="4" t="s">
        <v>343</v>
      </c>
      <c r="D90" s="5" t="s">
        <v>344</v>
      </c>
      <c r="E90" s="5" t="s">
        <v>39</v>
      </c>
      <c r="F90" s="4" t="s">
        <v>29</v>
      </c>
      <c r="G90" s="4"/>
      <c r="H90" s="5" t="s">
        <v>345</v>
      </c>
      <c r="I90" s="12"/>
      <c r="J90" s="29" t="s">
        <v>33</v>
      </c>
      <c r="K90" s="29">
        <v>1</v>
      </c>
      <c r="L90" s="29"/>
      <c r="M90" s="25" t="s">
        <v>101</v>
      </c>
      <c r="N90" s="30" t="s">
        <v>36</v>
      </c>
    </row>
    <row r="91" spans="1:14" ht="409.5">
      <c r="A91" s="4">
        <v>13</v>
      </c>
      <c r="B91" s="4" t="s">
        <v>266</v>
      </c>
      <c r="C91" s="4" t="s">
        <v>192</v>
      </c>
      <c r="D91" s="5" t="s">
        <v>346</v>
      </c>
      <c r="E91" s="5" t="s">
        <v>61</v>
      </c>
      <c r="F91" s="31" t="s">
        <v>29</v>
      </c>
      <c r="G91" s="31"/>
      <c r="H91" s="36" t="s">
        <v>347</v>
      </c>
      <c r="I91" s="12" t="s">
        <v>348</v>
      </c>
      <c r="J91" s="29" t="s">
        <v>46</v>
      </c>
      <c r="K91" s="29">
        <v>1</v>
      </c>
      <c r="L91" s="29"/>
      <c r="M91" s="25" t="s">
        <v>96</v>
      </c>
      <c r="N91" s="30" t="s">
        <v>36</v>
      </c>
    </row>
    <row r="92" spans="1:14" ht="409.5">
      <c r="A92" s="4">
        <v>13</v>
      </c>
      <c r="B92" s="4" t="s">
        <v>266</v>
      </c>
      <c r="C92" s="4" t="s">
        <v>198</v>
      </c>
      <c r="D92" s="5" t="s">
        <v>349</v>
      </c>
      <c r="E92" s="5" t="s">
        <v>61</v>
      </c>
      <c r="F92" s="31" t="s">
        <v>29</v>
      </c>
      <c r="G92" s="31"/>
      <c r="H92" s="36" t="s">
        <v>347</v>
      </c>
      <c r="I92" s="12" t="s">
        <v>348</v>
      </c>
      <c r="J92" s="29" t="s">
        <v>46</v>
      </c>
      <c r="K92" s="29">
        <v>1</v>
      </c>
      <c r="L92" s="29"/>
      <c r="M92" s="25" t="s">
        <v>96</v>
      </c>
      <c r="N92" s="30" t="s">
        <v>36</v>
      </c>
    </row>
    <row r="93" spans="1:14" ht="409.5">
      <c r="A93" s="4">
        <v>13</v>
      </c>
      <c r="B93" s="4" t="s">
        <v>266</v>
      </c>
      <c r="C93" s="4" t="s">
        <v>203</v>
      </c>
      <c r="D93" s="5" t="s">
        <v>350</v>
      </c>
      <c r="E93" s="5" t="s">
        <v>61</v>
      </c>
      <c r="F93" s="31" t="s">
        <v>29</v>
      </c>
      <c r="G93" s="31"/>
      <c r="H93" s="36" t="s">
        <v>347</v>
      </c>
      <c r="I93" s="12" t="s">
        <v>348</v>
      </c>
      <c r="J93" s="29" t="s">
        <v>46</v>
      </c>
      <c r="K93" s="29">
        <v>1</v>
      </c>
      <c r="L93" s="29"/>
      <c r="M93" s="25" t="s">
        <v>96</v>
      </c>
      <c r="N93" s="30" t="s">
        <v>36</v>
      </c>
    </row>
    <row r="94" spans="1:14" ht="409.5">
      <c r="A94" s="4">
        <v>13</v>
      </c>
      <c r="B94" s="4" t="s">
        <v>266</v>
      </c>
      <c r="C94" s="4" t="s">
        <v>206</v>
      </c>
      <c r="D94" s="5" t="s">
        <v>351</v>
      </c>
      <c r="E94" s="5" t="s">
        <v>61</v>
      </c>
      <c r="F94" s="31" t="s">
        <v>29</v>
      </c>
      <c r="G94" s="31"/>
      <c r="H94" s="36" t="s">
        <v>347</v>
      </c>
      <c r="I94" s="12" t="s">
        <v>348</v>
      </c>
      <c r="J94" s="29" t="s">
        <v>46</v>
      </c>
      <c r="K94" s="29">
        <v>1</v>
      </c>
      <c r="L94" s="29"/>
      <c r="M94" s="25" t="s">
        <v>96</v>
      </c>
      <c r="N94" s="30" t="s">
        <v>36</v>
      </c>
    </row>
    <row r="95" spans="1:14" ht="409.5">
      <c r="A95" s="4">
        <v>13</v>
      </c>
      <c r="B95" s="4" t="s">
        <v>266</v>
      </c>
      <c r="C95" s="4" t="s">
        <v>352</v>
      </c>
      <c r="D95" s="5" t="s">
        <v>353</v>
      </c>
      <c r="E95" s="5" t="s">
        <v>61</v>
      </c>
      <c r="F95" s="31" t="s">
        <v>29</v>
      </c>
      <c r="G95" s="31"/>
      <c r="H95" s="36" t="s">
        <v>347</v>
      </c>
      <c r="I95" s="12" t="s">
        <v>348</v>
      </c>
      <c r="J95" s="29" t="s">
        <v>46</v>
      </c>
      <c r="K95" s="29">
        <v>1</v>
      </c>
      <c r="L95" s="29"/>
      <c r="M95" s="25" t="s">
        <v>96</v>
      </c>
      <c r="N95" s="30" t="s">
        <v>36</v>
      </c>
    </row>
    <row r="96" spans="1:14" ht="409.5">
      <c r="A96" s="4">
        <v>13</v>
      </c>
      <c r="B96" s="4" t="s">
        <v>266</v>
      </c>
      <c r="C96" s="4" t="s">
        <v>354</v>
      </c>
      <c r="D96" s="5" t="s">
        <v>355</v>
      </c>
      <c r="E96" s="35" t="s">
        <v>61</v>
      </c>
      <c r="F96" s="31" t="s">
        <v>29</v>
      </c>
      <c r="G96" s="31"/>
      <c r="H96" s="36" t="s">
        <v>347</v>
      </c>
      <c r="I96" s="12" t="s">
        <v>348</v>
      </c>
      <c r="J96" s="29" t="s">
        <v>46</v>
      </c>
      <c r="K96" s="29">
        <v>1</v>
      </c>
      <c r="L96" s="29"/>
      <c r="M96" s="25" t="s">
        <v>96</v>
      </c>
      <c r="N96" s="30" t="s">
        <v>36</v>
      </c>
    </row>
    <row r="97" spans="1:14" ht="409.5">
      <c r="A97" s="4">
        <v>13</v>
      </c>
      <c r="B97" s="4" t="s">
        <v>266</v>
      </c>
      <c r="C97" s="4" t="s">
        <v>356</v>
      </c>
      <c r="D97" s="5" t="s">
        <v>357</v>
      </c>
      <c r="E97" s="35" t="s">
        <v>61</v>
      </c>
      <c r="F97" s="31" t="s">
        <v>29</v>
      </c>
      <c r="G97" s="31"/>
      <c r="H97" s="36" t="s">
        <v>347</v>
      </c>
      <c r="I97" s="12" t="s">
        <v>348</v>
      </c>
      <c r="J97" s="29" t="s">
        <v>46</v>
      </c>
      <c r="K97" s="29">
        <v>1</v>
      </c>
      <c r="L97" s="29"/>
      <c r="M97" s="25" t="s">
        <v>96</v>
      </c>
      <c r="N97" s="30" t="s">
        <v>36</v>
      </c>
    </row>
    <row r="98" spans="1:14" ht="409.5">
      <c r="A98" s="4">
        <v>13</v>
      </c>
      <c r="B98" s="4" t="s">
        <v>266</v>
      </c>
      <c r="C98" s="4" t="s">
        <v>358</v>
      </c>
      <c r="D98" s="5" t="s">
        <v>359</v>
      </c>
      <c r="E98" s="35" t="s">
        <v>61</v>
      </c>
      <c r="F98" s="31" t="s">
        <v>29</v>
      </c>
      <c r="G98" s="31"/>
      <c r="H98" s="36" t="s">
        <v>347</v>
      </c>
      <c r="I98" s="12" t="s">
        <v>348</v>
      </c>
      <c r="J98" s="29" t="s">
        <v>46</v>
      </c>
      <c r="K98" s="29">
        <v>1</v>
      </c>
      <c r="L98" s="29"/>
      <c r="M98" s="25" t="s">
        <v>96</v>
      </c>
      <c r="N98" s="30" t="s">
        <v>36</v>
      </c>
    </row>
    <row r="99" spans="1:14" ht="409.5">
      <c r="A99" s="4">
        <v>13</v>
      </c>
      <c r="B99" s="4" t="s">
        <v>266</v>
      </c>
      <c r="C99" s="4" t="s">
        <v>360</v>
      </c>
      <c r="D99" s="5" t="s">
        <v>361</v>
      </c>
      <c r="E99" s="35" t="s">
        <v>61</v>
      </c>
      <c r="F99" s="31" t="s">
        <v>29</v>
      </c>
      <c r="G99" s="31"/>
      <c r="H99" s="36" t="s">
        <v>347</v>
      </c>
      <c r="I99" s="12" t="s">
        <v>348</v>
      </c>
      <c r="J99" s="29" t="s">
        <v>46</v>
      </c>
      <c r="K99" s="29">
        <v>1</v>
      </c>
      <c r="L99" s="29"/>
      <c r="M99" s="25" t="s">
        <v>96</v>
      </c>
      <c r="N99" s="30" t="s">
        <v>36</v>
      </c>
    </row>
    <row r="100" spans="1:14" ht="409.5">
      <c r="A100" s="4">
        <v>14</v>
      </c>
      <c r="B100" s="4" t="s">
        <v>266</v>
      </c>
      <c r="C100" s="4" t="s">
        <v>360</v>
      </c>
      <c r="D100" s="5" t="s">
        <v>362</v>
      </c>
      <c r="E100" s="35" t="s">
        <v>61</v>
      </c>
      <c r="F100" s="31" t="s">
        <v>29</v>
      </c>
      <c r="G100" s="31"/>
      <c r="H100" s="36" t="s">
        <v>347</v>
      </c>
      <c r="I100" s="12" t="s">
        <v>348</v>
      </c>
      <c r="J100" s="29" t="s">
        <v>46</v>
      </c>
      <c r="K100" s="29">
        <v>1</v>
      </c>
      <c r="L100" s="29"/>
      <c r="M100" s="25" t="s">
        <v>96</v>
      </c>
      <c r="N100" s="30" t="s">
        <v>36</v>
      </c>
    </row>
    <row r="101" spans="1:14" ht="409.5">
      <c r="A101" s="4">
        <v>14</v>
      </c>
      <c r="B101" s="4" t="s">
        <v>266</v>
      </c>
      <c r="C101" s="4" t="s">
        <v>363</v>
      </c>
      <c r="D101" s="5" t="s">
        <v>364</v>
      </c>
      <c r="E101" s="35" t="s">
        <v>61</v>
      </c>
      <c r="F101" s="31" t="s">
        <v>29</v>
      </c>
      <c r="G101" s="31"/>
      <c r="H101" s="36" t="s">
        <v>347</v>
      </c>
      <c r="I101" s="12" t="s">
        <v>348</v>
      </c>
      <c r="J101" s="29" t="s">
        <v>46</v>
      </c>
      <c r="K101" s="29">
        <v>1</v>
      </c>
      <c r="L101" s="29"/>
      <c r="M101" s="25" t="s">
        <v>96</v>
      </c>
      <c r="N101" s="30" t="s">
        <v>36</v>
      </c>
    </row>
    <row r="102" spans="1:14" ht="409.5">
      <c r="A102" s="4">
        <v>14</v>
      </c>
      <c r="B102" s="4" t="s">
        <v>266</v>
      </c>
      <c r="C102" s="4" t="s">
        <v>365</v>
      </c>
      <c r="D102" s="5" t="s">
        <v>366</v>
      </c>
      <c r="E102" s="35" t="s">
        <v>61</v>
      </c>
      <c r="F102" s="31" t="s">
        <v>29</v>
      </c>
      <c r="G102" s="31"/>
      <c r="H102" s="5" t="s">
        <v>367</v>
      </c>
      <c r="I102" s="12" t="s">
        <v>348</v>
      </c>
      <c r="J102" s="29" t="s">
        <v>46</v>
      </c>
      <c r="K102" s="29">
        <v>1</v>
      </c>
      <c r="L102" s="29"/>
      <c r="M102" s="25" t="s">
        <v>96</v>
      </c>
      <c r="N102" s="30" t="s">
        <v>36</v>
      </c>
    </row>
    <row r="103" spans="1:14" ht="409.5">
      <c r="A103" s="4">
        <v>14</v>
      </c>
      <c r="B103" s="4" t="s">
        <v>266</v>
      </c>
      <c r="C103" s="4" t="s">
        <v>368</v>
      </c>
      <c r="D103" s="5" t="s">
        <v>369</v>
      </c>
      <c r="E103" s="35" t="s">
        <v>61</v>
      </c>
      <c r="F103" s="31" t="s">
        <v>29</v>
      </c>
      <c r="G103" s="31"/>
      <c r="H103" s="36" t="s">
        <v>347</v>
      </c>
      <c r="I103" s="12" t="s">
        <v>348</v>
      </c>
      <c r="J103" s="29" t="s">
        <v>46</v>
      </c>
      <c r="K103" s="29">
        <v>1</v>
      </c>
      <c r="L103" s="29"/>
      <c r="M103" s="25" t="s">
        <v>96</v>
      </c>
      <c r="N103" s="30" t="s">
        <v>36</v>
      </c>
    </row>
    <row r="104" spans="1:14" ht="409.5">
      <c r="A104" s="4">
        <v>14</v>
      </c>
      <c r="B104" s="4" t="s">
        <v>266</v>
      </c>
      <c r="C104" s="4" t="s">
        <v>370</v>
      </c>
      <c r="D104" s="5" t="s">
        <v>371</v>
      </c>
      <c r="E104" s="35" t="s">
        <v>39</v>
      </c>
      <c r="F104" s="31" t="s">
        <v>29</v>
      </c>
      <c r="G104" s="31"/>
      <c r="H104" s="5" t="s">
        <v>372</v>
      </c>
      <c r="I104" s="12" t="s">
        <v>373</v>
      </c>
      <c r="J104" s="29" t="s">
        <v>33</v>
      </c>
      <c r="K104" s="29">
        <v>2</v>
      </c>
      <c r="L104" s="29"/>
      <c r="M104" s="25" t="s">
        <v>35</v>
      </c>
      <c r="N104" s="30" t="s">
        <v>36</v>
      </c>
    </row>
    <row r="105" spans="1:14" ht="409.5">
      <c r="A105" s="4">
        <v>14</v>
      </c>
      <c r="B105" s="4" t="s">
        <v>266</v>
      </c>
      <c r="C105" s="4" t="s">
        <v>374</v>
      </c>
      <c r="D105" s="5" t="s">
        <v>375</v>
      </c>
      <c r="E105" s="35" t="s">
        <v>39</v>
      </c>
      <c r="F105" s="31" t="s">
        <v>29</v>
      </c>
      <c r="G105" s="31"/>
      <c r="H105" s="5" t="s">
        <v>376</v>
      </c>
      <c r="I105" s="12" t="s">
        <v>377</v>
      </c>
      <c r="J105" s="29" t="s">
        <v>33</v>
      </c>
      <c r="K105" s="29">
        <v>2</v>
      </c>
      <c r="L105" s="29"/>
      <c r="M105" s="25" t="s">
        <v>35</v>
      </c>
      <c r="N105" s="30" t="s">
        <v>36</v>
      </c>
    </row>
    <row r="106" spans="1:14" ht="409.5">
      <c r="A106" s="4">
        <v>14</v>
      </c>
      <c r="B106" s="4" t="s">
        <v>266</v>
      </c>
      <c r="C106" s="4" t="s">
        <v>378</v>
      </c>
      <c r="D106" s="5" t="s">
        <v>379</v>
      </c>
      <c r="E106" s="5" t="s">
        <v>61</v>
      </c>
      <c r="F106" s="31" t="s">
        <v>29</v>
      </c>
      <c r="G106" s="31"/>
      <c r="H106" s="5" t="s">
        <v>380</v>
      </c>
      <c r="I106" s="12" t="s">
        <v>381</v>
      </c>
      <c r="J106" s="29" t="s">
        <v>46</v>
      </c>
      <c r="K106" s="29">
        <v>1</v>
      </c>
      <c r="L106" s="29"/>
      <c r="M106" s="25" t="s">
        <v>96</v>
      </c>
      <c r="N106" s="30" t="s">
        <v>18</v>
      </c>
    </row>
    <row r="107" spans="1:14" ht="409.5">
      <c r="A107" s="4">
        <v>14</v>
      </c>
      <c r="B107" s="4" t="s">
        <v>266</v>
      </c>
      <c r="C107" s="4" t="s">
        <v>382</v>
      </c>
      <c r="D107" s="5" t="s">
        <v>383</v>
      </c>
      <c r="E107" s="35" t="s">
        <v>39</v>
      </c>
      <c r="F107" s="31" t="s">
        <v>29</v>
      </c>
      <c r="G107" s="31"/>
      <c r="H107" s="5" t="s">
        <v>384</v>
      </c>
      <c r="I107" s="12" t="s">
        <v>373</v>
      </c>
      <c r="J107" s="29" t="s">
        <v>33</v>
      </c>
      <c r="K107" s="29">
        <v>2</v>
      </c>
      <c r="L107" s="29"/>
      <c r="M107" s="25" t="s">
        <v>35</v>
      </c>
      <c r="N107" s="30" t="s">
        <v>36</v>
      </c>
    </row>
    <row r="108" spans="1:14" ht="341.1">
      <c r="A108" s="4">
        <v>14</v>
      </c>
      <c r="B108" s="4" t="s">
        <v>266</v>
      </c>
      <c r="C108" s="4" t="s">
        <v>385</v>
      </c>
      <c r="D108" s="5" t="s">
        <v>386</v>
      </c>
      <c r="E108" s="5" t="s">
        <v>61</v>
      </c>
      <c r="F108" s="4" t="s">
        <v>116</v>
      </c>
      <c r="G108" s="4"/>
      <c r="H108" s="5" t="s">
        <v>387</v>
      </c>
      <c r="I108" s="12" t="s">
        <v>278</v>
      </c>
      <c r="J108" s="29"/>
      <c r="K108" s="29">
        <v>3</v>
      </c>
      <c r="L108" s="29"/>
      <c r="M108" s="25" t="s">
        <v>1135</v>
      </c>
      <c r="N108" s="30" t="s">
        <v>36</v>
      </c>
    </row>
    <row r="109" spans="1:14" ht="409.5">
      <c r="A109" s="4">
        <v>14</v>
      </c>
      <c r="B109" s="4" t="s">
        <v>266</v>
      </c>
      <c r="C109" s="4" t="s">
        <v>389</v>
      </c>
      <c r="D109" s="5" t="s">
        <v>390</v>
      </c>
      <c r="E109" s="35" t="s">
        <v>39</v>
      </c>
      <c r="F109" s="31" t="s">
        <v>29</v>
      </c>
      <c r="G109" s="31"/>
      <c r="H109" s="5" t="s">
        <v>391</v>
      </c>
      <c r="I109" s="12" t="s">
        <v>373</v>
      </c>
      <c r="J109" s="29" t="s">
        <v>33</v>
      </c>
      <c r="K109" s="29">
        <v>2</v>
      </c>
      <c r="L109" s="29"/>
      <c r="M109" s="25" t="s">
        <v>35</v>
      </c>
      <c r="N109" s="30" t="s">
        <v>36</v>
      </c>
    </row>
    <row r="110" spans="1:14" ht="387.6">
      <c r="A110" s="4">
        <v>14</v>
      </c>
      <c r="B110" s="4" t="s">
        <v>266</v>
      </c>
      <c r="C110" s="4" t="s">
        <v>392</v>
      </c>
      <c r="D110" s="5" t="s">
        <v>393</v>
      </c>
      <c r="E110" s="5" t="s">
        <v>61</v>
      </c>
      <c r="F110" s="4" t="s">
        <v>29</v>
      </c>
      <c r="G110" s="4"/>
      <c r="H110" s="5" t="s">
        <v>56</v>
      </c>
      <c r="I110" s="12"/>
      <c r="J110" s="29" t="s">
        <v>46</v>
      </c>
      <c r="K110" s="29">
        <v>1</v>
      </c>
      <c r="L110" s="29"/>
      <c r="M110" s="25" t="s">
        <v>48</v>
      </c>
      <c r="N110" s="30" t="s">
        <v>18</v>
      </c>
    </row>
    <row r="111" spans="1:14" ht="387.6">
      <c r="A111" s="4">
        <v>14</v>
      </c>
      <c r="B111" s="4" t="s">
        <v>266</v>
      </c>
      <c r="C111" s="4" t="s">
        <v>394</v>
      </c>
      <c r="D111" s="5" t="s">
        <v>395</v>
      </c>
      <c r="E111" s="5" t="s">
        <v>61</v>
      </c>
      <c r="F111" s="4" t="s">
        <v>29</v>
      </c>
      <c r="G111" s="4"/>
      <c r="H111" s="5" t="s">
        <v>56</v>
      </c>
      <c r="I111" s="12"/>
      <c r="J111" s="29" t="s">
        <v>46</v>
      </c>
      <c r="K111" s="29">
        <v>1</v>
      </c>
      <c r="L111" s="29"/>
      <c r="M111" s="25" t="s">
        <v>48</v>
      </c>
      <c r="N111" s="30" t="s">
        <v>18</v>
      </c>
    </row>
    <row r="112" spans="1:14" ht="356.45">
      <c r="A112" s="4">
        <v>14</v>
      </c>
      <c r="B112" s="4" t="s">
        <v>266</v>
      </c>
      <c r="C112" s="4" t="s">
        <v>396</v>
      </c>
      <c r="D112" s="5" t="s">
        <v>397</v>
      </c>
      <c r="E112" s="5" t="s">
        <v>61</v>
      </c>
      <c r="F112" s="4" t="s">
        <v>29</v>
      </c>
      <c r="G112" s="4"/>
      <c r="H112" s="5" t="s">
        <v>56</v>
      </c>
      <c r="I112" s="12"/>
      <c r="J112" s="29" t="s">
        <v>46</v>
      </c>
      <c r="K112" s="29">
        <v>1</v>
      </c>
      <c r="L112" s="29"/>
      <c r="M112" s="25" t="s">
        <v>48</v>
      </c>
      <c r="N112" s="30" t="s">
        <v>18</v>
      </c>
    </row>
    <row r="113" spans="1:14" ht="409.5">
      <c r="A113" s="4">
        <v>14</v>
      </c>
      <c r="B113" s="4" t="s">
        <v>266</v>
      </c>
      <c r="C113" s="4" t="s">
        <v>398</v>
      </c>
      <c r="D113" s="5" t="s">
        <v>399</v>
      </c>
      <c r="E113" s="5" t="s">
        <v>61</v>
      </c>
      <c r="F113" s="4" t="s">
        <v>29</v>
      </c>
      <c r="G113" s="4"/>
      <c r="H113" s="5" t="s">
        <v>56</v>
      </c>
      <c r="I113" s="12"/>
      <c r="J113" s="29" t="s">
        <v>46</v>
      </c>
      <c r="K113" s="29">
        <v>1</v>
      </c>
      <c r="L113" s="29"/>
      <c r="M113" s="25" t="s">
        <v>48</v>
      </c>
      <c r="N113" s="30" t="s">
        <v>18</v>
      </c>
    </row>
    <row r="114" spans="1:14" ht="409.5">
      <c r="A114" s="4">
        <v>14</v>
      </c>
      <c r="B114" s="4" t="s">
        <v>266</v>
      </c>
      <c r="C114" s="4" t="s">
        <v>400</v>
      </c>
      <c r="D114" s="5" t="s">
        <v>401</v>
      </c>
      <c r="E114" s="35" t="s">
        <v>39</v>
      </c>
      <c r="F114" s="31" t="s">
        <v>29</v>
      </c>
      <c r="G114" s="31"/>
      <c r="H114" s="5" t="s">
        <v>402</v>
      </c>
      <c r="I114" s="12" t="s">
        <v>373</v>
      </c>
      <c r="J114" s="29" t="s">
        <v>33</v>
      </c>
      <c r="K114" s="29">
        <v>2</v>
      </c>
      <c r="L114" s="29"/>
      <c r="M114" s="25" t="s">
        <v>35</v>
      </c>
      <c r="N114" s="30" t="s">
        <v>36</v>
      </c>
    </row>
    <row r="115" spans="1:14" ht="356.45">
      <c r="A115" s="4">
        <v>14</v>
      </c>
      <c r="B115" s="4" t="s">
        <v>266</v>
      </c>
      <c r="C115" s="4" t="s">
        <v>403</v>
      </c>
      <c r="D115" s="5" t="s">
        <v>404</v>
      </c>
      <c r="E115" s="5" t="s">
        <v>61</v>
      </c>
      <c r="F115" s="4" t="s">
        <v>29</v>
      </c>
      <c r="G115" s="4"/>
      <c r="H115" s="5" t="s">
        <v>56</v>
      </c>
      <c r="I115" s="12"/>
      <c r="J115" s="29" t="s">
        <v>46</v>
      </c>
      <c r="K115" s="29">
        <v>1</v>
      </c>
      <c r="L115" s="29"/>
      <c r="M115" s="25" t="s">
        <v>48</v>
      </c>
      <c r="N115" s="30" t="s">
        <v>18</v>
      </c>
    </row>
    <row r="116" spans="1:14" ht="409.5">
      <c r="A116" s="4">
        <v>15</v>
      </c>
      <c r="B116" s="4" t="s">
        <v>266</v>
      </c>
      <c r="C116" s="4" t="s">
        <v>405</v>
      </c>
      <c r="D116" s="5" t="s">
        <v>406</v>
      </c>
      <c r="E116" s="5" t="s">
        <v>61</v>
      </c>
      <c r="F116" s="4" t="s">
        <v>29</v>
      </c>
      <c r="G116" s="4"/>
      <c r="H116" s="5" t="s">
        <v>56</v>
      </c>
      <c r="I116" s="12"/>
      <c r="J116" s="29" t="s">
        <v>46</v>
      </c>
      <c r="K116" s="29">
        <v>1</v>
      </c>
      <c r="L116" s="29"/>
      <c r="M116" s="25" t="s">
        <v>48</v>
      </c>
      <c r="N116" s="30" t="s">
        <v>18</v>
      </c>
    </row>
    <row r="117" spans="1:14" ht="356.45">
      <c r="A117" s="4">
        <v>15</v>
      </c>
      <c r="B117" s="4" t="s">
        <v>266</v>
      </c>
      <c r="C117" s="4" t="s">
        <v>407</v>
      </c>
      <c r="D117" s="5" t="s">
        <v>408</v>
      </c>
      <c r="E117" s="5" t="s">
        <v>61</v>
      </c>
      <c r="F117" s="4" t="s">
        <v>29</v>
      </c>
      <c r="G117" s="4"/>
      <c r="H117" s="5" t="s">
        <v>56</v>
      </c>
      <c r="I117" s="12"/>
      <c r="J117" s="29" t="s">
        <v>46</v>
      </c>
      <c r="K117" s="29">
        <v>1</v>
      </c>
      <c r="L117" s="29"/>
      <c r="M117" s="25" t="s">
        <v>48</v>
      </c>
      <c r="N117" s="30" t="s">
        <v>18</v>
      </c>
    </row>
    <row r="118" spans="1:14" ht="356.45">
      <c r="A118" s="4">
        <v>15</v>
      </c>
      <c r="B118" s="4" t="s">
        <v>266</v>
      </c>
      <c r="C118" s="4" t="s">
        <v>409</v>
      </c>
      <c r="D118" s="5" t="s">
        <v>410</v>
      </c>
      <c r="E118" s="5" t="s">
        <v>61</v>
      </c>
      <c r="F118" s="4" t="s">
        <v>29</v>
      </c>
      <c r="G118" s="4"/>
      <c r="H118" s="5" t="s">
        <v>56</v>
      </c>
      <c r="I118" s="12"/>
      <c r="J118" s="29" t="s">
        <v>46</v>
      </c>
      <c r="K118" s="29">
        <v>1</v>
      </c>
      <c r="L118" s="29"/>
      <c r="M118" s="25" t="s">
        <v>48</v>
      </c>
      <c r="N118" s="30" t="s">
        <v>18</v>
      </c>
    </row>
    <row r="119" spans="1:14" ht="356.45">
      <c r="A119" s="4">
        <v>15</v>
      </c>
      <c r="B119" s="4" t="s">
        <v>266</v>
      </c>
      <c r="C119" s="4" t="s">
        <v>411</v>
      </c>
      <c r="D119" s="5" t="s">
        <v>412</v>
      </c>
      <c r="E119" s="5" t="s">
        <v>61</v>
      </c>
      <c r="F119" s="4" t="s">
        <v>29</v>
      </c>
      <c r="G119" s="4"/>
      <c r="H119" s="5" t="s">
        <v>56</v>
      </c>
      <c r="I119" s="12"/>
      <c r="J119" s="29" t="s">
        <v>46</v>
      </c>
      <c r="K119" s="29">
        <v>1</v>
      </c>
      <c r="L119" s="29"/>
      <c r="M119" s="25" t="s">
        <v>48</v>
      </c>
      <c r="N119" s="30" t="s">
        <v>18</v>
      </c>
    </row>
    <row r="120" spans="1:14" ht="356.45">
      <c r="A120" s="4">
        <v>15</v>
      </c>
      <c r="B120" s="4" t="s">
        <v>266</v>
      </c>
      <c r="C120" s="4" t="s">
        <v>413</v>
      </c>
      <c r="D120" s="5" t="s">
        <v>414</v>
      </c>
      <c r="E120" s="5" t="s">
        <v>61</v>
      </c>
      <c r="F120" s="4" t="s">
        <v>29</v>
      </c>
      <c r="G120" s="4"/>
      <c r="H120" s="5" t="s">
        <v>56</v>
      </c>
      <c r="I120" s="12"/>
      <c r="J120" s="29" t="s">
        <v>46</v>
      </c>
      <c r="K120" s="29">
        <v>1</v>
      </c>
      <c r="L120" s="29"/>
      <c r="M120" s="25" t="s">
        <v>48</v>
      </c>
      <c r="N120" s="30" t="s">
        <v>18</v>
      </c>
    </row>
    <row r="121" spans="1:14" ht="409.5">
      <c r="A121" s="4">
        <v>15</v>
      </c>
      <c r="B121" s="4" t="s">
        <v>266</v>
      </c>
      <c r="C121" s="4" t="s">
        <v>415</v>
      </c>
      <c r="D121" s="5" t="s">
        <v>416</v>
      </c>
      <c r="E121" s="35" t="s">
        <v>39</v>
      </c>
      <c r="F121" s="34" t="s">
        <v>29</v>
      </c>
      <c r="G121" s="34"/>
      <c r="H121" s="5" t="s">
        <v>417</v>
      </c>
      <c r="I121" s="12" t="s">
        <v>373</v>
      </c>
      <c r="J121" s="29" t="s">
        <v>33</v>
      </c>
      <c r="K121" s="29">
        <v>2</v>
      </c>
      <c r="L121" s="29"/>
      <c r="M121" s="25" t="s">
        <v>35</v>
      </c>
      <c r="N121" s="30" t="s">
        <v>36</v>
      </c>
    </row>
    <row r="122" spans="1:14" ht="409.5">
      <c r="A122" s="4">
        <v>15</v>
      </c>
      <c r="B122" s="4" t="s">
        <v>266</v>
      </c>
      <c r="C122" s="4" t="s">
        <v>418</v>
      </c>
      <c r="D122" s="5" t="s">
        <v>419</v>
      </c>
      <c r="E122" s="35" t="s">
        <v>39</v>
      </c>
      <c r="F122" s="34" t="s">
        <v>29</v>
      </c>
      <c r="G122" s="34"/>
      <c r="H122" s="5" t="s">
        <v>420</v>
      </c>
      <c r="I122" s="12" t="s">
        <v>373</v>
      </c>
      <c r="J122" s="29" t="s">
        <v>33</v>
      </c>
      <c r="K122" s="29">
        <v>2</v>
      </c>
      <c r="L122" s="29"/>
      <c r="M122" s="25" t="s">
        <v>35</v>
      </c>
      <c r="N122" s="30" t="s">
        <v>36</v>
      </c>
    </row>
    <row r="123" spans="1:14" ht="409.5">
      <c r="A123" s="4">
        <v>15</v>
      </c>
      <c r="B123" s="4" t="s">
        <v>266</v>
      </c>
      <c r="C123" s="4" t="s">
        <v>421</v>
      </c>
      <c r="D123" s="5" t="s">
        <v>422</v>
      </c>
      <c r="E123" s="5" t="s">
        <v>61</v>
      </c>
      <c r="F123" s="4" t="s">
        <v>29</v>
      </c>
      <c r="G123" s="4"/>
      <c r="H123" s="5" t="s">
        <v>56</v>
      </c>
      <c r="I123" s="12"/>
      <c r="J123" s="29" t="s">
        <v>46</v>
      </c>
      <c r="K123" s="29">
        <v>1</v>
      </c>
      <c r="L123" s="29"/>
      <c r="M123" s="25" t="s">
        <v>48</v>
      </c>
      <c r="N123" s="30" t="s">
        <v>18</v>
      </c>
    </row>
    <row r="124" spans="1:14" ht="409.5">
      <c r="A124" s="4">
        <v>15</v>
      </c>
      <c r="B124" s="4" t="s">
        <v>266</v>
      </c>
      <c r="C124" s="4" t="s">
        <v>423</v>
      </c>
      <c r="D124" s="5" t="s">
        <v>424</v>
      </c>
      <c r="E124" s="5" t="s">
        <v>425</v>
      </c>
      <c r="F124" s="4" t="s">
        <v>116</v>
      </c>
      <c r="G124" s="4"/>
      <c r="H124" s="5" t="s">
        <v>426</v>
      </c>
      <c r="I124" s="12" t="s">
        <v>45</v>
      </c>
      <c r="J124" s="29" t="s">
        <v>33</v>
      </c>
      <c r="K124" s="29">
        <v>1</v>
      </c>
      <c r="L124" s="29"/>
      <c r="M124" s="25" t="s">
        <v>427</v>
      </c>
      <c r="N124" s="30" t="s">
        <v>18</v>
      </c>
    </row>
    <row r="125" spans="1:14" ht="409.5">
      <c r="A125" s="4">
        <v>15</v>
      </c>
      <c r="B125" s="4" t="s">
        <v>266</v>
      </c>
      <c r="C125" s="4" t="s">
        <v>428</v>
      </c>
      <c r="D125" s="5" t="s">
        <v>429</v>
      </c>
      <c r="E125" s="5" t="s">
        <v>20</v>
      </c>
      <c r="F125" s="4" t="s">
        <v>116</v>
      </c>
      <c r="G125" s="4"/>
      <c r="H125" s="5" t="s">
        <v>430</v>
      </c>
      <c r="I125" s="12" t="s">
        <v>45</v>
      </c>
      <c r="J125" s="29" t="s">
        <v>33</v>
      </c>
      <c r="K125" s="29">
        <v>1</v>
      </c>
      <c r="L125" s="29"/>
      <c r="M125" s="25" t="s">
        <v>431</v>
      </c>
      <c r="N125" s="30" t="s">
        <v>18</v>
      </c>
    </row>
    <row r="126" spans="1:14" ht="409.5">
      <c r="A126" s="4">
        <v>16</v>
      </c>
      <c r="B126" s="4" t="s">
        <v>266</v>
      </c>
      <c r="C126" s="4" t="s">
        <v>432</v>
      </c>
      <c r="D126" s="5" t="s">
        <v>433</v>
      </c>
      <c r="E126" s="5" t="s">
        <v>20</v>
      </c>
      <c r="F126" s="4" t="s">
        <v>116</v>
      </c>
      <c r="G126" s="4"/>
      <c r="H126" s="5" t="s">
        <v>434</v>
      </c>
      <c r="I126" s="12" t="s">
        <v>45</v>
      </c>
      <c r="J126" s="29" t="s">
        <v>33</v>
      </c>
      <c r="K126" s="29">
        <v>1</v>
      </c>
      <c r="L126" s="29"/>
      <c r="M126" s="25" t="s">
        <v>431</v>
      </c>
      <c r="N126" s="30" t="s">
        <v>18</v>
      </c>
    </row>
    <row r="127" spans="1:14" ht="409.5">
      <c r="A127" s="4">
        <v>16</v>
      </c>
      <c r="B127" s="4" t="s">
        <v>266</v>
      </c>
      <c r="C127" s="4" t="s">
        <v>435</v>
      </c>
      <c r="D127" s="5" t="s">
        <v>436</v>
      </c>
      <c r="E127" s="5" t="s">
        <v>425</v>
      </c>
      <c r="F127" s="4" t="s">
        <v>258</v>
      </c>
      <c r="G127" s="4"/>
      <c r="H127" s="5" t="s">
        <v>437</v>
      </c>
      <c r="I127" s="12" t="s">
        <v>45</v>
      </c>
      <c r="J127" s="29" t="s">
        <v>33</v>
      </c>
      <c r="K127" s="29">
        <v>1</v>
      </c>
      <c r="L127" s="29"/>
      <c r="M127" s="25" t="s">
        <v>438</v>
      </c>
      <c r="N127" s="30" t="s">
        <v>18</v>
      </c>
    </row>
    <row r="128" spans="1:14" ht="402.95">
      <c r="A128" s="4">
        <v>16</v>
      </c>
      <c r="B128" s="4" t="s">
        <v>266</v>
      </c>
      <c r="C128" s="4" t="s">
        <v>439</v>
      </c>
      <c r="D128" s="5" t="s">
        <v>440</v>
      </c>
      <c r="E128" s="35" t="s">
        <v>39</v>
      </c>
      <c r="F128" s="31" t="s">
        <v>29</v>
      </c>
      <c r="G128" s="31"/>
      <c r="H128" s="5" t="s">
        <v>441</v>
      </c>
      <c r="I128" s="12" t="s">
        <v>32</v>
      </c>
      <c r="J128" s="29" t="s">
        <v>33</v>
      </c>
      <c r="K128" s="29">
        <v>2</v>
      </c>
      <c r="L128" s="29"/>
      <c r="M128" s="25" t="s">
        <v>35</v>
      </c>
      <c r="N128" s="30" t="s">
        <v>36</v>
      </c>
    </row>
    <row r="129" spans="1:14" ht="409.5">
      <c r="A129" s="4">
        <v>16</v>
      </c>
      <c r="B129" s="4" t="s">
        <v>266</v>
      </c>
      <c r="C129" s="4" t="s">
        <v>442</v>
      </c>
      <c r="D129" s="5" t="s">
        <v>443</v>
      </c>
      <c r="E129" s="5" t="s">
        <v>39</v>
      </c>
      <c r="F129" s="4" t="s">
        <v>29</v>
      </c>
      <c r="G129" s="4"/>
      <c r="H129" s="5" t="s">
        <v>444</v>
      </c>
      <c r="I129" s="12"/>
      <c r="J129" s="29" t="s">
        <v>33</v>
      </c>
      <c r="K129" s="29">
        <v>1</v>
      </c>
      <c r="L129" s="29"/>
      <c r="M129" s="25" t="s">
        <v>101</v>
      </c>
      <c r="N129" s="30" t="s">
        <v>18</v>
      </c>
    </row>
    <row r="130" spans="1:14" ht="387.6">
      <c r="A130" s="4">
        <v>16</v>
      </c>
      <c r="B130" s="4" t="s">
        <v>266</v>
      </c>
      <c r="C130" s="4" t="s">
        <v>445</v>
      </c>
      <c r="D130" s="5" t="s">
        <v>446</v>
      </c>
      <c r="E130" s="5" t="s">
        <v>61</v>
      </c>
      <c r="F130" s="4" t="s">
        <v>29</v>
      </c>
      <c r="G130" s="4"/>
      <c r="H130" s="5" t="s">
        <v>447</v>
      </c>
      <c r="I130" s="12"/>
      <c r="J130" s="29" t="s">
        <v>46</v>
      </c>
      <c r="K130" s="29">
        <v>1</v>
      </c>
      <c r="L130" s="29"/>
      <c r="M130" s="25" t="s">
        <v>322</v>
      </c>
      <c r="N130" s="30" t="s">
        <v>18</v>
      </c>
    </row>
    <row r="131" spans="1:14" ht="409.5">
      <c r="A131" s="4">
        <v>16</v>
      </c>
      <c r="B131" s="4" t="s">
        <v>266</v>
      </c>
      <c r="C131" s="4" t="s">
        <v>448</v>
      </c>
      <c r="D131" s="5" t="s">
        <v>449</v>
      </c>
      <c r="E131" s="5" t="s">
        <v>61</v>
      </c>
      <c r="F131" s="4" t="s">
        <v>29</v>
      </c>
      <c r="G131" s="4"/>
      <c r="H131" s="5"/>
      <c r="I131" s="12"/>
      <c r="J131" s="29" t="s">
        <v>46</v>
      </c>
      <c r="K131" s="29">
        <v>1</v>
      </c>
      <c r="L131" s="29"/>
      <c r="M131" s="25" t="s">
        <v>322</v>
      </c>
      <c r="N131" s="30" t="s">
        <v>18</v>
      </c>
    </row>
    <row r="132" spans="1:14" ht="409.5">
      <c r="A132" s="4">
        <v>16</v>
      </c>
      <c r="B132" s="4" t="s">
        <v>266</v>
      </c>
      <c r="C132" s="4" t="s">
        <v>450</v>
      </c>
      <c r="D132" s="5" t="s">
        <v>451</v>
      </c>
      <c r="E132" s="5" t="s">
        <v>39</v>
      </c>
      <c r="F132" s="4" t="s">
        <v>29</v>
      </c>
      <c r="G132" s="4"/>
      <c r="H132" s="5" t="s">
        <v>452</v>
      </c>
      <c r="I132" s="12"/>
      <c r="J132" s="29" t="s">
        <v>33</v>
      </c>
      <c r="K132" s="29">
        <v>1</v>
      </c>
      <c r="L132" s="29"/>
      <c r="M132" s="25" t="s">
        <v>453</v>
      </c>
      <c r="N132" s="30" t="s">
        <v>36</v>
      </c>
    </row>
    <row r="133" spans="1:14" ht="341.1">
      <c r="A133" s="4">
        <v>16</v>
      </c>
      <c r="B133" s="4" t="s">
        <v>454</v>
      </c>
      <c r="C133" s="4" t="s">
        <v>455</v>
      </c>
      <c r="D133" s="5" t="s">
        <v>456</v>
      </c>
      <c r="E133" s="5" t="s">
        <v>39</v>
      </c>
      <c r="F133" s="4" t="s">
        <v>29</v>
      </c>
      <c r="G133" s="4"/>
      <c r="H133" s="5" t="s">
        <v>444</v>
      </c>
      <c r="I133" s="12"/>
      <c r="J133" s="29" t="s">
        <v>33</v>
      </c>
      <c r="K133" s="29">
        <v>1</v>
      </c>
      <c r="L133" s="29"/>
      <c r="M133" s="25" t="s">
        <v>101</v>
      </c>
      <c r="N133" s="30" t="s">
        <v>36</v>
      </c>
    </row>
    <row r="134" spans="1:14" ht="409.5">
      <c r="A134" s="4">
        <v>16</v>
      </c>
      <c r="B134" s="4" t="s">
        <v>454</v>
      </c>
      <c r="C134" s="4" t="s">
        <v>457</v>
      </c>
      <c r="D134" s="5" t="s">
        <v>458</v>
      </c>
      <c r="E134" s="5" t="s">
        <v>39</v>
      </c>
      <c r="F134" s="4" t="s">
        <v>29</v>
      </c>
      <c r="G134" s="4"/>
      <c r="H134" s="5" t="s">
        <v>444</v>
      </c>
      <c r="I134" s="12"/>
      <c r="J134" s="29" t="s">
        <v>33</v>
      </c>
      <c r="K134" s="29">
        <v>1</v>
      </c>
      <c r="L134" s="29"/>
      <c r="M134" s="25" t="s">
        <v>101</v>
      </c>
      <c r="N134" s="30" t="s">
        <v>36</v>
      </c>
    </row>
    <row r="135" spans="1:14" ht="409.5">
      <c r="A135" s="4">
        <v>16</v>
      </c>
      <c r="B135" s="4" t="s">
        <v>454</v>
      </c>
      <c r="C135" s="4" t="s">
        <v>459</v>
      </c>
      <c r="D135" s="5" t="s">
        <v>460</v>
      </c>
      <c r="E135" s="5" t="s">
        <v>39</v>
      </c>
      <c r="F135" s="4" t="s">
        <v>29</v>
      </c>
      <c r="G135" s="4"/>
      <c r="H135" s="5" t="s">
        <v>444</v>
      </c>
      <c r="I135" s="12"/>
      <c r="J135" s="29" t="s">
        <v>33</v>
      </c>
      <c r="K135" s="29">
        <v>1</v>
      </c>
      <c r="L135" s="29"/>
      <c r="M135" s="25" t="s">
        <v>101</v>
      </c>
      <c r="N135" s="30" t="s">
        <v>36</v>
      </c>
    </row>
    <row r="136" spans="1:14" ht="341.1">
      <c r="A136" s="4">
        <v>16</v>
      </c>
      <c r="B136" s="4" t="s">
        <v>454</v>
      </c>
      <c r="C136" s="4" t="s">
        <v>461</v>
      </c>
      <c r="D136" s="5" t="s">
        <v>462</v>
      </c>
      <c r="E136" s="5" t="s">
        <v>39</v>
      </c>
      <c r="F136" s="4" t="s">
        <v>29</v>
      </c>
      <c r="G136" s="4"/>
      <c r="H136" s="5" t="s">
        <v>444</v>
      </c>
      <c r="I136" s="12"/>
      <c r="J136" s="29" t="s">
        <v>33</v>
      </c>
      <c r="K136" s="29">
        <v>1</v>
      </c>
      <c r="L136" s="29"/>
      <c r="M136" s="25" t="s">
        <v>101</v>
      </c>
      <c r="N136" s="30" t="s">
        <v>36</v>
      </c>
    </row>
    <row r="137" spans="1:14" ht="341.1">
      <c r="A137" s="4">
        <v>16</v>
      </c>
      <c r="B137" s="4" t="s">
        <v>454</v>
      </c>
      <c r="C137" s="4" t="s">
        <v>463</v>
      </c>
      <c r="D137" s="5" t="s">
        <v>464</v>
      </c>
      <c r="E137" s="5" t="s">
        <v>39</v>
      </c>
      <c r="F137" s="4" t="s">
        <v>29</v>
      </c>
      <c r="G137" s="4"/>
      <c r="H137" s="5" t="s">
        <v>465</v>
      </c>
      <c r="I137" s="12"/>
      <c r="J137" s="29" t="s">
        <v>33</v>
      </c>
      <c r="K137" s="29">
        <v>1</v>
      </c>
      <c r="L137" s="29"/>
      <c r="M137" s="25" t="s">
        <v>101</v>
      </c>
      <c r="N137" s="30" t="s">
        <v>36</v>
      </c>
    </row>
    <row r="138" spans="1:14" ht="325.5">
      <c r="A138" s="4">
        <v>16</v>
      </c>
      <c r="B138" s="4" t="s">
        <v>454</v>
      </c>
      <c r="C138" s="4" t="s">
        <v>466</v>
      </c>
      <c r="D138" s="5" t="s">
        <v>467</v>
      </c>
      <c r="E138" s="5" t="s">
        <v>39</v>
      </c>
      <c r="F138" s="4" t="s">
        <v>29</v>
      </c>
      <c r="G138" s="4"/>
      <c r="H138" s="5" t="s">
        <v>468</v>
      </c>
      <c r="I138" s="12"/>
      <c r="J138" s="29" t="s">
        <v>33</v>
      </c>
      <c r="K138" s="29">
        <v>1</v>
      </c>
      <c r="L138" s="29"/>
      <c r="M138" s="25" t="s">
        <v>469</v>
      </c>
      <c r="N138" s="30" t="s">
        <v>36</v>
      </c>
    </row>
    <row r="139" spans="1:14" ht="387.6">
      <c r="A139" s="4">
        <v>16</v>
      </c>
      <c r="B139" s="4" t="s">
        <v>454</v>
      </c>
      <c r="C139" s="4" t="s">
        <v>470</v>
      </c>
      <c r="D139" s="5" t="s">
        <v>471</v>
      </c>
      <c r="E139" s="5" t="s">
        <v>39</v>
      </c>
      <c r="F139" s="4" t="s">
        <v>29</v>
      </c>
      <c r="G139" s="4"/>
      <c r="H139" s="5" t="s">
        <v>472</v>
      </c>
      <c r="I139" s="12"/>
      <c r="J139" s="29" t="s">
        <v>33</v>
      </c>
      <c r="K139" s="29">
        <v>1</v>
      </c>
      <c r="L139" s="29"/>
      <c r="M139" s="25" t="s">
        <v>469</v>
      </c>
      <c r="N139" s="30" t="s">
        <v>36</v>
      </c>
    </row>
    <row r="140" spans="1:14" ht="409.5">
      <c r="A140" s="4">
        <v>16</v>
      </c>
      <c r="B140" s="4" t="s">
        <v>454</v>
      </c>
      <c r="C140" s="4" t="s">
        <v>473</v>
      </c>
      <c r="D140" s="5" t="s">
        <v>474</v>
      </c>
      <c r="E140" s="5" t="s">
        <v>39</v>
      </c>
      <c r="F140" s="4" t="s">
        <v>29</v>
      </c>
      <c r="G140" s="4"/>
      <c r="H140" s="5" t="s">
        <v>444</v>
      </c>
      <c r="I140" s="12"/>
      <c r="J140" s="29" t="s">
        <v>33</v>
      </c>
      <c r="K140" s="29">
        <v>1</v>
      </c>
      <c r="L140" s="29"/>
      <c r="M140" s="25" t="s">
        <v>469</v>
      </c>
      <c r="N140" s="30" t="s">
        <v>36</v>
      </c>
    </row>
    <row r="141" spans="1:14" ht="325.5">
      <c r="A141" s="4">
        <v>16</v>
      </c>
      <c r="B141" s="4" t="s">
        <v>454</v>
      </c>
      <c r="C141" s="4" t="s">
        <v>475</v>
      </c>
      <c r="D141" s="5" t="s">
        <v>476</v>
      </c>
      <c r="E141" s="5" t="s">
        <v>39</v>
      </c>
      <c r="F141" s="4" t="s">
        <v>29</v>
      </c>
      <c r="G141" s="4"/>
      <c r="H141" s="5" t="s">
        <v>444</v>
      </c>
      <c r="I141" s="12"/>
      <c r="J141" s="29" t="s">
        <v>33</v>
      </c>
      <c r="K141" s="29">
        <v>1</v>
      </c>
      <c r="L141" s="29"/>
      <c r="M141" s="25" t="s">
        <v>469</v>
      </c>
      <c r="N141" s="30" t="s">
        <v>36</v>
      </c>
    </row>
    <row r="142" spans="1:14" ht="409.5">
      <c r="A142" s="4">
        <v>17</v>
      </c>
      <c r="B142" s="4" t="s">
        <v>454</v>
      </c>
      <c r="C142" s="4" t="s">
        <v>477</v>
      </c>
      <c r="D142" s="5" t="s">
        <v>478</v>
      </c>
      <c r="E142" s="5" t="s">
        <v>39</v>
      </c>
      <c r="F142" s="4" t="s">
        <v>29</v>
      </c>
      <c r="G142" s="4"/>
      <c r="H142" s="5" t="s">
        <v>479</v>
      </c>
      <c r="I142" s="12"/>
      <c r="J142" s="29" t="s">
        <v>33</v>
      </c>
      <c r="K142" s="29">
        <v>1</v>
      </c>
      <c r="L142" s="29"/>
      <c r="M142" s="25" t="s">
        <v>469</v>
      </c>
      <c r="N142" s="30" t="s">
        <v>36</v>
      </c>
    </row>
    <row r="143" spans="1:14" ht="356.45">
      <c r="A143" s="4">
        <v>17</v>
      </c>
      <c r="B143" s="4" t="s">
        <v>454</v>
      </c>
      <c r="C143" s="4" t="s">
        <v>480</v>
      </c>
      <c r="D143" s="5" t="s">
        <v>481</v>
      </c>
      <c r="E143" s="5" t="s">
        <v>39</v>
      </c>
      <c r="F143" s="4" t="s">
        <v>29</v>
      </c>
      <c r="G143" s="4"/>
      <c r="H143" s="5" t="s">
        <v>444</v>
      </c>
      <c r="I143" s="12"/>
      <c r="J143" s="29" t="s">
        <v>33</v>
      </c>
      <c r="K143" s="29">
        <v>1</v>
      </c>
      <c r="L143" s="29"/>
      <c r="M143" s="25" t="s">
        <v>469</v>
      </c>
      <c r="N143" s="30" t="s">
        <v>36</v>
      </c>
    </row>
    <row r="144" spans="1:14" ht="356.45">
      <c r="A144" s="4">
        <v>17</v>
      </c>
      <c r="B144" s="4" t="s">
        <v>454</v>
      </c>
      <c r="C144" s="4" t="s">
        <v>482</v>
      </c>
      <c r="D144" s="5" t="s">
        <v>483</v>
      </c>
      <c r="E144" s="5" t="s">
        <v>39</v>
      </c>
      <c r="F144" s="4" t="s">
        <v>29</v>
      </c>
      <c r="G144" s="4"/>
      <c r="H144" s="5" t="s">
        <v>484</v>
      </c>
      <c r="I144" s="12"/>
      <c r="J144" s="29" t="s">
        <v>33</v>
      </c>
      <c r="K144" s="29">
        <v>1</v>
      </c>
      <c r="L144" s="29"/>
      <c r="M144" s="25" t="s">
        <v>469</v>
      </c>
      <c r="N144" s="30" t="s">
        <v>36</v>
      </c>
    </row>
    <row r="145" spans="1:14" ht="409.5">
      <c r="A145" s="4">
        <v>17</v>
      </c>
      <c r="B145" s="4" t="s">
        <v>454</v>
      </c>
      <c r="C145" s="4" t="s">
        <v>485</v>
      </c>
      <c r="D145" s="5" t="s">
        <v>486</v>
      </c>
      <c r="E145" s="5" t="s">
        <v>39</v>
      </c>
      <c r="F145" s="4" t="s">
        <v>29</v>
      </c>
      <c r="G145" s="4"/>
      <c r="H145" s="5" t="s">
        <v>487</v>
      </c>
      <c r="I145" s="12"/>
      <c r="J145" s="29" t="s">
        <v>33</v>
      </c>
      <c r="K145" s="29">
        <v>1</v>
      </c>
      <c r="L145" s="29"/>
      <c r="M145" s="25" t="s">
        <v>469</v>
      </c>
      <c r="N145" s="30" t="s">
        <v>36</v>
      </c>
    </row>
    <row r="146" spans="1:14" ht="409.5">
      <c r="A146" s="4">
        <v>17</v>
      </c>
      <c r="B146" s="6" t="s">
        <v>488</v>
      </c>
      <c r="C146" s="4" t="s">
        <v>178</v>
      </c>
      <c r="D146" s="5" t="s">
        <v>489</v>
      </c>
      <c r="E146" s="5" t="s">
        <v>39</v>
      </c>
      <c r="F146" s="6" t="s">
        <v>29</v>
      </c>
      <c r="G146" s="6"/>
      <c r="H146" s="5" t="s">
        <v>490</v>
      </c>
      <c r="I146" s="12"/>
      <c r="J146" s="29" t="s">
        <v>33</v>
      </c>
      <c r="K146" s="29">
        <v>1</v>
      </c>
      <c r="L146" s="29"/>
      <c r="M146" s="25" t="s">
        <v>101</v>
      </c>
      <c r="N146" s="30" t="s">
        <v>18</v>
      </c>
    </row>
    <row r="147" spans="1:14" ht="409.5">
      <c r="A147" s="4">
        <v>17</v>
      </c>
      <c r="B147" s="6" t="s">
        <v>488</v>
      </c>
      <c r="C147" s="4" t="s">
        <v>189</v>
      </c>
      <c r="D147" s="5" t="s">
        <v>491</v>
      </c>
      <c r="E147" s="5" t="s">
        <v>61</v>
      </c>
      <c r="F147" s="4" t="s">
        <v>29</v>
      </c>
      <c r="G147" s="4"/>
      <c r="H147" s="5" t="s">
        <v>56</v>
      </c>
      <c r="I147" s="12"/>
      <c r="J147" s="29" t="s">
        <v>46</v>
      </c>
      <c r="K147" s="29">
        <v>1</v>
      </c>
      <c r="L147" s="29"/>
      <c r="M147" s="25" t="s">
        <v>48</v>
      </c>
      <c r="N147" s="30" t="s">
        <v>18</v>
      </c>
    </row>
    <row r="148" spans="1:14" ht="409.5">
      <c r="A148" s="42">
        <v>17</v>
      </c>
      <c r="B148" s="17" t="s">
        <v>488</v>
      </c>
      <c r="C148" s="42" t="s">
        <v>492</v>
      </c>
      <c r="D148" s="43" t="s">
        <v>493</v>
      </c>
      <c r="E148" s="43" t="s">
        <v>61</v>
      </c>
      <c r="F148" s="42" t="s">
        <v>29</v>
      </c>
      <c r="G148" s="42"/>
      <c r="H148" s="43" t="s">
        <v>494</v>
      </c>
      <c r="I148" s="19"/>
      <c r="J148" s="44" t="s">
        <v>46</v>
      </c>
      <c r="K148" s="44">
        <v>1</v>
      </c>
      <c r="L148" s="44"/>
      <c r="M148" s="45" t="s">
        <v>48</v>
      </c>
      <c r="N148" s="46" t="s">
        <v>495</v>
      </c>
    </row>
    <row r="149" spans="1:14" ht="409.5">
      <c r="A149" s="4">
        <v>17</v>
      </c>
      <c r="B149" s="6" t="s">
        <v>488</v>
      </c>
      <c r="C149" s="4" t="s">
        <v>192</v>
      </c>
      <c r="D149" s="5" t="s">
        <v>496</v>
      </c>
      <c r="E149" s="5" t="s">
        <v>39</v>
      </c>
      <c r="F149" s="6" t="s">
        <v>21</v>
      </c>
      <c r="G149" s="6"/>
      <c r="H149" s="5" t="s">
        <v>497</v>
      </c>
      <c r="I149" s="12" t="s">
        <v>498</v>
      </c>
      <c r="J149" s="29" t="s">
        <v>33</v>
      </c>
      <c r="K149" s="29">
        <v>1</v>
      </c>
      <c r="L149" s="29"/>
      <c r="M149" s="25" t="s">
        <v>499</v>
      </c>
      <c r="N149" s="30" t="s">
        <v>18</v>
      </c>
    </row>
    <row r="150" spans="1:14" ht="409.5">
      <c r="A150" s="4">
        <v>17</v>
      </c>
      <c r="B150" s="6" t="s">
        <v>488</v>
      </c>
      <c r="C150" s="4" t="s">
        <v>500</v>
      </c>
      <c r="D150" s="5" t="s">
        <v>501</v>
      </c>
      <c r="E150" s="5" t="s">
        <v>39</v>
      </c>
      <c r="F150" s="6" t="s">
        <v>21</v>
      </c>
      <c r="G150" s="6"/>
      <c r="H150" s="5" t="s">
        <v>497</v>
      </c>
      <c r="I150" s="12" t="s">
        <v>498</v>
      </c>
      <c r="J150" s="29" t="s">
        <v>33</v>
      </c>
      <c r="K150" s="29">
        <v>1</v>
      </c>
      <c r="L150" s="29"/>
      <c r="M150" s="25" t="s">
        <v>499</v>
      </c>
      <c r="N150" s="30" t="s">
        <v>18</v>
      </c>
    </row>
    <row r="151" spans="1:14" ht="409.5">
      <c r="A151" s="4">
        <v>17</v>
      </c>
      <c r="B151" s="6" t="s">
        <v>488</v>
      </c>
      <c r="C151" s="4" t="s">
        <v>198</v>
      </c>
      <c r="D151" s="5" t="s">
        <v>502</v>
      </c>
      <c r="E151" s="5" t="s">
        <v>39</v>
      </c>
      <c r="F151" s="6" t="s">
        <v>21</v>
      </c>
      <c r="G151" s="6"/>
      <c r="H151" s="5" t="s">
        <v>503</v>
      </c>
      <c r="I151" s="12" t="s">
        <v>498</v>
      </c>
      <c r="J151" s="29" t="s">
        <v>33</v>
      </c>
      <c r="K151" s="29">
        <v>1</v>
      </c>
      <c r="L151" s="29"/>
      <c r="M151" s="25" t="s">
        <v>499</v>
      </c>
      <c r="N151" s="30" t="s">
        <v>18</v>
      </c>
    </row>
    <row r="152" spans="1:14" ht="409.5">
      <c r="A152" s="4">
        <v>17</v>
      </c>
      <c r="B152" s="6" t="s">
        <v>488</v>
      </c>
      <c r="C152" s="4" t="s">
        <v>203</v>
      </c>
      <c r="D152" s="5" t="s">
        <v>504</v>
      </c>
      <c r="E152" s="5" t="s">
        <v>425</v>
      </c>
      <c r="F152" s="6" t="s">
        <v>21</v>
      </c>
      <c r="G152" s="6"/>
      <c r="H152" s="5" t="s">
        <v>505</v>
      </c>
      <c r="I152" s="12" t="s">
        <v>498</v>
      </c>
      <c r="J152" s="29" t="s">
        <v>33</v>
      </c>
      <c r="K152" s="29">
        <v>1</v>
      </c>
      <c r="L152" s="29"/>
      <c r="M152" s="25" t="s">
        <v>499</v>
      </c>
      <c r="N152" s="30" t="s">
        <v>18</v>
      </c>
    </row>
    <row r="153" spans="1:14" ht="409.5">
      <c r="A153" s="4">
        <v>17</v>
      </c>
      <c r="B153" s="6" t="s">
        <v>488</v>
      </c>
      <c r="C153" s="4" t="s">
        <v>506</v>
      </c>
      <c r="D153" s="5" t="s">
        <v>507</v>
      </c>
      <c r="E153" s="5" t="s">
        <v>425</v>
      </c>
      <c r="F153" s="6" t="s">
        <v>21</v>
      </c>
      <c r="G153" s="6"/>
      <c r="H153" s="5" t="s">
        <v>508</v>
      </c>
      <c r="I153" s="12" t="s">
        <v>498</v>
      </c>
      <c r="J153" s="29" t="s">
        <v>33</v>
      </c>
      <c r="K153" s="29">
        <v>1</v>
      </c>
      <c r="L153" s="29"/>
      <c r="M153" s="25" t="s">
        <v>499</v>
      </c>
      <c r="N153" s="30" t="s">
        <v>18</v>
      </c>
    </row>
    <row r="154" spans="1:14" ht="409.5">
      <c r="A154" s="4">
        <v>17</v>
      </c>
      <c r="B154" s="6" t="s">
        <v>488</v>
      </c>
      <c r="C154" s="4" t="s">
        <v>509</v>
      </c>
      <c r="D154" s="5" t="s">
        <v>510</v>
      </c>
      <c r="E154" s="5" t="s">
        <v>39</v>
      </c>
      <c r="F154" s="6" t="s">
        <v>29</v>
      </c>
      <c r="G154" s="6"/>
      <c r="H154" s="5" t="s">
        <v>511</v>
      </c>
      <c r="I154" s="12"/>
      <c r="J154" s="29" t="s">
        <v>33</v>
      </c>
      <c r="K154" s="29">
        <v>1</v>
      </c>
      <c r="L154" s="29"/>
      <c r="M154" s="25" t="s">
        <v>101</v>
      </c>
      <c r="N154" s="30" t="s">
        <v>36</v>
      </c>
    </row>
    <row r="155" spans="1:14" ht="409.5">
      <c r="A155" s="4">
        <v>17</v>
      </c>
      <c r="B155" s="6" t="s">
        <v>488</v>
      </c>
      <c r="C155" s="4" t="s">
        <v>512</v>
      </c>
      <c r="D155" s="5" t="s">
        <v>513</v>
      </c>
      <c r="E155" s="5" t="s">
        <v>39</v>
      </c>
      <c r="F155" s="6" t="s">
        <v>29</v>
      </c>
      <c r="G155" s="6"/>
      <c r="H155" s="5" t="s">
        <v>511</v>
      </c>
      <c r="I155" s="12"/>
      <c r="J155" s="29" t="s">
        <v>33</v>
      </c>
      <c r="K155" s="29">
        <v>1</v>
      </c>
      <c r="L155" s="29"/>
      <c r="M155" s="25" t="s">
        <v>101</v>
      </c>
      <c r="N155" s="30" t="s">
        <v>36</v>
      </c>
    </row>
    <row r="156" spans="1:14" ht="409.5">
      <c r="A156" s="4">
        <v>18</v>
      </c>
      <c r="B156" s="6" t="s">
        <v>488</v>
      </c>
      <c r="C156" s="4" t="s">
        <v>514</v>
      </c>
      <c r="D156" s="5" t="s">
        <v>515</v>
      </c>
      <c r="E156" s="5" t="s">
        <v>39</v>
      </c>
      <c r="F156" s="6" t="s">
        <v>29</v>
      </c>
      <c r="G156" s="6"/>
      <c r="H156" s="5" t="s">
        <v>511</v>
      </c>
      <c r="I156" s="12"/>
      <c r="J156" s="29" t="s">
        <v>33</v>
      </c>
      <c r="K156" s="29">
        <v>1</v>
      </c>
      <c r="L156" s="29"/>
      <c r="M156" s="25" t="s">
        <v>101</v>
      </c>
      <c r="N156" s="30" t="s">
        <v>36</v>
      </c>
    </row>
    <row r="157" spans="1:14" ht="409.5">
      <c r="A157" s="4">
        <v>18</v>
      </c>
      <c r="B157" s="6" t="s">
        <v>488</v>
      </c>
      <c r="C157" s="4" t="s">
        <v>516</v>
      </c>
      <c r="D157" s="5" t="s">
        <v>517</v>
      </c>
      <c r="E157" s="5" t="s">
        <v>39</v>
      </c>
      <c r="F157" s="6" t="s">
        <v>29</v>
      </c>
      <c r="G157" s="6"/>
      <c r="H157" s="5" t="s">
        <v>511</v>
      </c>
      <c r="I157" s="12"/>
      <c r="J157" s="29" t="s">
        <v>33</v>
      </c>
      <c r="K157" s="29">
        <v>1</v>
      </c>
      <c r="L157" s="29"/>
      <c r="M157" s="25" t="s">
        <v>101</v>
      </c>
      <c r="N157" s="30" t="s">
        <v>36</v>
      </c>
    </row>
    <row r="158" spans="1:14" ht="409.5">
      <c r="A158" s="4">
        <v>18</v>
      </c>
      <c r="B158" s="6" t="s">
        <v>488</v>
      </c>
      <c r="C158" s="4" t="s">
        <v>518</v>
      </c>
      <c r="D158" s="5" t="s">
        <v>519</v>
      </c>
      <c r="E158" s="5" t="s">
        <v>39</v>
      </c>
      <c r="F158" s="6" t="s">
        <v>29</v>
      </c>
      <c r="G158" s="6"/>
      <c r="H158" s="5" t="s">
        <v>511</v>
      </c>
      <c r="I158" s="12"/>
      <c r="J158" s="29" t="s">
        <v>33</v>
      </c>
      <c r="K158" s="29">
        <v>1</v>
      </c>
      <c r="L158" s="29"/>
      <c r="M158" s="25" t="s">
        <v>101</v>
      </c>
      <c r="N158" s="30" t="s">
        <v>36</v>
      </c>
    </row>
    <row r="159" spans="1:14" ht="409.5">
      <c r="A159" s="4">
        <v>18</v>
      </c>
      <c r="B159" s="6" t="s">
        <v>488</v>
      </c>
      <c r="C159" s="4" t="s">
        <v>520</v>
      </c>
      <c r="D159" s="5" t="s">
        <v>521</v>
      </c>
      <c r="E159" s="5" t="s">
        <v>39</v>
      </c>
      <c r="F159" s="6" t="s">
        <v>29</v>
      </c>
      <c r="G159" s="6"/>
      <c r="H159" s="5" t="s">
        <v>511</v>
      </c>
      <c r="I159" s="12"/>
      <c r="J159" s="29" t="s">
        <v>33</v>
      </c>
      <c r="K159" s="29">
        <v>1</v>
      </c>
      <c r="L159" s="29"/>
      <c r="M159" s="25" t="s">
        <v>101</v>
      </c>
      <c r="N159" s="30" t="s">
        <v>36</v>
      </c>
    </row>
    <row r="160" spans="1:14" ht="409.5">
      <c r="A160" s="4">
        <v>18</v>
      </c>
      <c r="B160" s="6" t="s">
        <v>488</v>
      </c>
      <c r="C160" s="4" t="s">
        <v>522</v>
      </c>
      <c r="D160" s="5" t="s">
        <v>523</v>
      </c>
      <c r="E160" s="5" t="s">
        <v>39</v>
      </c>
      <c r="F160" s="6" t="s">
        <v>29</v>
      </c>
      <c r="G160" s="6"/>
      <c r="H160" s="5" t="s">
        <v>511</v>
      </c>
      <c r="I160" s="12"/>
      <c r="J160" s="29" t="s">
        <v>33</v>
      </c>
      <c r="K160" s="29">
        <v>1</v>
      </c>
      <c r="L160" s="29"/>
      <c r="M160" s="25" t="s">
        <v>101</v>
      </c>
      <c r="N160" s="30" t="s">
        <v>36</v>
      </c>
    </row>
    <row r="161" spans="1:14" ht="409.5">
      <c r="A161" s="4">
        <v>18</v>
      </c>
      <c r="B161" s="6" t="s">
        <v>488</v>
      </c>
      <c r="C161" s="4" t="s">
        <v>354</v>
      </c>
      <c r="D161" s="5" t="s">
        <v>524</v>
      </c>
      <c r="E161" s="5" t="s">
        <v>39</v>
      </c>
      <c r="F161" s="6" t="s">
        <v>29</v>
      </c>
      <c r="G161" s="6"/>
      <c r="H161" s="5" t="s">
        <v>525</v>
      </c>
      <c r="I161" s="12"/>
      <c r="J161" s="29" t="s">
        <v>33</v>
      </c>
      <c r="K161" s="29">
        <v>1</v>
      </c>
      <c r="L161" s="29"/>
      <c r="M161" s="25" t="s">
        <v>101</v>
      </c>
      <c r="N161" s="30" t="s">
        <v>36</v>
      </c>
    </row>
    <row r="162" spans="1:14" ht="409.5">
      <c r="A162" s="4">
        <v>18</v>
      </c>
      <c r="B162" s="6" t="s">
        <v>488</v>
      </c>
      <c r="C162" s="4" t="s">
        <v>526</v>
      </c>
      <c r="D162" s="5" t="s">
        <v>527</v>
      </c>
      <c r="E162" s="5" t="s">
        <v>39</v>
      </c>
      <c r="F162" s="6" t="s">
        <v>29</v>
      </c>
      <c r="G162" s="6"/>
      <c r="H162" s="5" t="s">
        <v>525</v>
      </c>
      <c r="I162" s="12"/>
      <c r="J162" s="29" t="s">
        <v>33</v>
      </c>
      <c r="K162" s="29">
        <v>1</v>
      </c>
      <c r="L162" s="29"/>
      <c r="M162" s="25" t="s">
        <v>101</v>
      </c>
      <c r="N162" s="30" t="s">
        <v>36</v>
      </c>
    </row>
    <row r="163" spans="1:14" ht="409.5">
      <c r="A163" s="4">
        <v>18</v>
      </c>
      <c r="B163" s="6" t="s">
        <v>488</v>
      </c>
      <c r="C163" s="4" t="s">
        <v>528</v>
      </c>
      <c r="D163" s="5" t="s">
        <v>529</v>
      </c>
      <c r="E163" s="5" t="s">
        <v>39</v>
      </c>
      <c r="F163" s="6" t="s">
        <v>29</v>
      </c>
      <c r="G163" s="6"/>
      <c r="H163" s="5" t="s">
        <v>525</v>
      </c>
      <c r="I163" s="12"/>
      <c r="J163" s="29" t="s">
        <v>33</v>
      </c>
      <c r="K163" s="29">
        <v>1</v>
      </c>
      <c r="L163" s="29"/>
      <c r="M163" s="25" t="s">
        <v>101</v>
      </c>
      <c r="N163" s="30" t="s">
        <v>36</v>
      </c>
    </row>
    <row r="164" spans="1:14" ht="409.5">
      <c r="A164" s="4">
        <v>18</v>
      </c>
      <c r="B164" s="6" t="s">
        <v>488</v>
      </c>
      <c r="C164" s="4" t="s">
        <v>530</v>
      </c>
      <c r="D164" s="5" t="s">
        <v>531</v>
      </c>
      <c r="E164" s="5" t="s">
        <v>39</v>
      </c>
      <c r="F164" s="6" t="s">
        <v>29</v>
      </c>
      <c r="G164" s="6"/>
      <c r="H164" s="5" t="s">
        <v>525</v>
      </c>
      <c r="I164" s="12"/>
      <c r="J164" s="29" t="s">
        <v>33</v>
      </c>
      <c r="K164" s="29">
        <v>1</v>
      </c>
      <c r="L164" s="29"/>
      <c r="M164" s="25" t="s">
        <v>101</v>
      </c>
      <c r="N164" s="30" t="s">
        <v>36</v>
      </c>
    </row>
    <row r="165" spans="1:14" ht="409.5">
      <c r="A165" s="4">
        <v>18</v>
      </c>
      <c r="B165" s="6" t="s">
        <v>488</v>
      </c>
      <c r="C165" s="4" t="s">
        <v>532</v>
      </c>
      <c r="D165" s="5" t="s">
        <v>533</v>
      </c>
      <c r="E165" s="5" t="s">
        <v>39</v>
      </c>
      <c r="F165" s="6" t="s">
        <v>29</v>
      </c>
      <c r="G165" s="6"/>
      <c r="H165" s="5" t="s">
        <v>525</v>
      </c>
      <c r="I165" s="12"/>
      <c r="J165" s="29" t="s">
        <v>33</v>
      </c>
      <c r="K165" s="29">
        <v>1</v>
      </c>
      <c r="L165" s="29"/>
      <c r="M165" s="25" t="s">
        <v>101</v>
      </c>
      <c r="N165" s="30" t="s">
        <v>36</v>
      </c>
    </row>
    <row r="166" spans="1:14" ht="409.5">
      <c r="A166" s="4">
        <v>18</v>
      </c>
      <c r="B166" s="6" t="s">
        <v>488</v>
      </c>
      <c r="C166" s="4" t="s">
        <v>534</v>
      </c>
      <c r="D166" s="5" t="s">
        <v>535</v>
      </c>
      <c r="E166" s="5" t="s">
        <v>39</v>
      </c>
      <c r="F166" s="6" t="s">
        <v>29</v>
      </c>
      <c r="G166" s="6"/>
      <c r="H166" s="5" t="s">
        <v>525</v>
      </c>
      <c r="I166" s="12"/>
      <c r="J166" s="29" t="s">
        <v>33</v>
      </c>
      <c r="K166" s="29">
        <v>1</v>
      </c>
      <c r="L166" s="29"/>
      <c r="M166" s="25" t="s">
        <v>101</v>
      </c>
      <c r="N166" s="30" t="s">
        <v>36</v>
      </c>
    </row>
    <row r="167" spans="1:14" ht="409.5">
      <c r="A167" s="4">
        <v>18</v>
      </c>
      <c r="B167" s="6" t="s">
        <v>488</v>
      </c>
      <c r="C167" s="4" t="s">
        <v>356</v>
      </c>
      <c r="D167" s="5" t="s">
        <v>536</v>
      </c>
      <c r="E167" s="5" t="s">
        <v>39</v>
      </c>
      <c r="F167" s="6" t="s">
        <v>29</v>
      </c>
      <c r="G167" s="6"/>
      <c r="H167" s="5" t="s">
        <v>525</v>
      </c>
      <c r="I167" s="12"/>
      <c r="J167" s="29" t="s">
        <v>33</v>
      </c>
      <c r="K167" s="29">
        <v>1</v>
      </c>
      <c r="L167" s="29"/>
      <c r="M167" s="25" t="s">
        <v>101</v>
      </c>
      <c r="N167" s="30" t="s">
        <v>36</v>
      </c>
    </row>
    <row r="168" spans="1:14" ht="409.5">
      <c r="A168" s="4">
        <v>18</v>
      </c>
      <c r="B168" s="6" t="s">
        <v>488</v>
      </c>
      <c r="C168" s="4" t="s">
        <v>537</v>
      </c>
      <c r="D168" s="5" t="s">
        <v>527</v>
      </c>
      <c r="E168" s="5" t="s">
        <v>39</v>
      </c>
      <c r="F168" s="6" t="s">
        <v>29</v>
      </c>
      <c r="G168" s="6"/>
      <c r="H168" s="5" t="s">
        <v>525</v>
      </c>
      <c r="I168" s="12"/>
      <c r="J168" s="29" t="s">
        <v>33</v>
      </c>
      <c r="K168" s="29">
        <v>1</v>
      </c>
      <c r="L168" s="29"/>
      <c r="M168" s="25" t="s">
        <v>101</v>
      </c>
      <c r="N168" s="30" t="s">
        <v>36</v>
      </c>
    </row>
    <row r="169" spans="1:14" ht="409.5">
      <c r="A169" s="4">
        <v>18</v>
      </c>
      <c r="B169" s="6" t="s">
        <v>488</v>
      </c>
      <c r="C169" s="4" t="s">
        <v>538</v>
      </c>
      <c r="D169" s="5" t="s">
        <v>529</v>
      </c>
      <c r="E169" s="5" t="s">
        <v>39</v>
      </c>
      <c r="F169" s="6" t="s">
        <v>29</v>
      </c>
      <c r="G169" s="6"/>
      <c r="H169" s="5" t="s">
        <v>525</v>
      </c>
      <c r="I169" s="12"/>
      <c r="J169" s="29" t="s">
        <v>33</v>
      </c>
      <c r="K169" s="29">
        <v>1</v>
      </c>
      <c r="L169" s="29"/>
      <c r="M169" s="25" t="s">
        <v>101</v>
      </c>
      <c r="N169" s="30" t="s">
        <v>36</v>
      </c>
    </row>
    <row r="170" spans="1:14" ht="409.5">
      <c r="A170" s="4">
        <v>18</v>
      </c>
      <c r="B170" s="6" t="s">
        <v>488</v>
      </c>
      <c r="C170" s="4" t="s">
        <v>539</v>
      </c>
      <c r="D170" s="5" t="s">
        <v>540</v>
      </c>
      <c r="E170" s="5" t="s">
        <v>39</v>
      </c>
      <c r="F170" s="6" t="s">
        <v>29</v>
      </c>
      <c r="G170" s="6"/>
      <c r="H170" s="5" t="s">
        <v>525</v>
      </c>
      <c r="I170" s="12"/>
      <c r="J170" s="29" t="s">
        <v>33</v>
      </c>
      <c r="K170" s="29">
        <v>1</v>
      </c>
      <c r="L170" s="29"/>
      <c r="M170" s="25" t="s">
        <v>101</v>
      </c>
      <c r="N170" s="30" t="s">
        <v>36</v>
      </c>
    </row>
    <row r="171" spans="1:14" ht="409.5">
      <c r="A171" s="4">
        <v>18</v>
      </c>
      <c r="B171" s="6" t="s">
        <v>488</v>
      </c>
      <c r="C171" s="4" t="s">
        <v>541</v>
      </c>
      <c r="D171" s="5" t="s">
        <v>533</v>
      </c>
      <c r="E171" s="5" t="s">
        <v>39</v>
      </c>
      <c r="F171" s="6" t="s">
        <v>29</v>
      </c>
      <c r="G171" s="6"/>
      <c r="H171" s="5" t="s">
        <v>525</v>
      </c>
      <c r="I171" s="12"/>
      <c r="J171" s="29" t="s">
        <v>33</v>
      </c>
      <c r="K171" s="29">
        <v>1</v>
      </c>
      <c r="L171" s="29"/>
      <c r="M171" s="25" t="s">
        <v>101</v>
      </c>
      <c r="N171" s="30" t="s">
        <v>36</v>
      </c>
    </row>
    <row r="172" spans="1:14" ht="409.5">
      <c r="A172" s="4">
        <v>18</v>
      </c>
      <c r="B172" s="6" t="s">
        <v>488</v>
      </c>
      <c r="C172" s="4" t="s">
        <v>542</v>
      </c>
      <c r="D172" s="5" t="s">
        <v>535</v>
      </c>
      <c r="E172" s="5" t="s">
        <v>39</v>
      </c>
      <c r="F172" s="6" t="s">
        <v>29</v>
      </c>
      <c r="G172" s="6"/>
      <c r="H172" s="5" t="s">
        <v>525</v>
      </c>
      <c r="I172" s="12"/>
      <c r="J172" s="29" t="s">
        <v>33</v>
      </c>
      <c r="K172" s="29">
        <v>1</v>
      </c>
      <c r="L172" s="29"/>
      <c r="M172" s="25" t="s">
        <v>101</v>
      </c>
      <c r="N172" s="30" t="s">
        <v>36</v>
      </c>
    </row>
    <row r="173" spans="1:14" ht="409.5">
      <c r="A173" s="4">
        <v>18</v>
      </c>
      <c r="B173" s="6" t="s">
        <v>488</v>
      </c>
      <c r="C173" s="4" t="s">
        <v>358</v>
      </c>
      <c r="D173" s="5" t="s">
        <v>543</v>
      </c>
      <c r="E173" s="5" t="s">
        <v>39</v>
      </c>
      <c r="F173" s="6" t="s">
        <v>29</v>
      </c>
      <c r="G173" s="6"/>
      <c r="H173" s="5" t="s">
        <v>525</v>
      </c>
      <c r="I173" s="12"/>
      <c r="J173" s="29" t="s">
        <v>33</v>
      </c>
      <c r="K173" s="29">
        <v>1</v>
      </c>
      <c r="L173" s="29"/>
      <c r="M173" s="25" t="s">
        <v>101</v>
      </c>
      <c r="N173" s="30" t="s">
        <v>36</v>
      </c>
    </row>
    <row r="174" spans="1:14" ht="409.5">
      <c r="A174" s="4">
        <v>18</v>
      </c>
      <c r="B174" s="6" t="s">
        <v>488</v>
      </c>
      <c r="C174" s="4" t="s">
        <v>544</v>
      </c>
      <c r="D174" s="5" t="s">
        <v>545</v>
      </c>
      <c r="E174" s="5" t="s">
        <v>39</v>
      </c>
      <c r="F174" s="6" t="s">
        <v>29</v>
      </c>
      <c r="G174" s="6"/>
      <c r="H174" s="5" t="s">
        <v>525</v>
      </c>
      <c r="I174" s="12"/>
      <c r="J174" s="29" t="s">
        <v>33</v>
      </c>
      <c r="K174" s="29">
        <v>1</v>
      </c>
      <c r="L174" s="29"/>
      <c r="M174" s="25" t="s">
        <v>101</v>
      </c>
      <c r="N174" s="30" t="s">
        <v>36</v>
      </c>
    </row>
    <row r="175" spans="1:14" ht="409.5">
      <c r="A175" s="4">
        <v>18</v>
      </c>
      <c r="B175" s="6" t="s">
        <v>488</v>
      </c>
      <c r="C175" s="4" t="s">
        <v>546</v>
      </c>
      <c r="D175" s="5" t="s">
        <v>547</v>
      </c>
      <c r="E175" s="5" t="s">
        <v>39</v>
      </c>
      <c r="F175" s="6" t="s">
        <v>29</v>
      </c>
      <c r="G175" s="6"/>
      <c r="H175" s="5" t="s">
        <v>525</v>
      </c>
      <c r="I175" s="12"/>
      <c r="J175" s="29" t="s">
        <v>33</v>
      </c>
      <c r="K175" s="29">
        <v>1</v>
      </c>
      <c r="L175" s="29"/>
      <c r="M175" s="25" t="s">
        <v>101</v>
      </c>
      <c r="N175" s="30" t="s">
        <v>36</v>
      </c>
    </row>
    <row r="176" spans="1:14" ht="409.5">
      <c r="A176" s="4">
        <v>18</v>
      </c>
      <c r="B176" s="6" t="s">
        <v>488</v>
      </c>
      <c r="C176" s="4" t="s">
        <v>546</v>
      </c>
      <c r="D176" s="5" t="s">
        <v>548</v>
      </c>
      <c r="E176" s="5" t="s">
        <v>39</v>
      </c>
      <c r="F176" s="6" t="s">
        <v>29</v>
      </c>
      <c r="G176" s="6"/>
      <c r="H176" s="5" t="s">
        <v>525</v>
      </c>
      <c r="I176" s="12"/>
      <c r="J176" s="29" t="s">
        <v>33</v>
      </c>
      <c r="K176" s="29">
        <v>1</v>
      </c>
      <c r="L176" s="29"/>
      <c r="M176" s="25" t="s">
        <v>101</v>
      </c>
      <c r="N176" s="30" t="s">
        <v>36</v>
      </c>
    </row>
    <row r="177" spans="1:14" ht="409.5">
      <c r="A177" s="4">
        <v>18</v>
      </c>
      <c r="B177" s="6" t="s">
        <v>488</v>
      </c>
      <c r="C177" s="4" t="s">
        <v>546</v>
      </c>
      <c r="D177" s="5" t="s">
        <v>549</v>
      </c>
      <c r="E177" s="5" t="s">
        <v>39</v>
      </c>
      <c r="F177" s="6" t="s">
        <v>29</v>
      </c>
      <c r="G177" s="6"/>
      <c r="H177" s="5" t="s">
        <v>525</v>
      </c>
      <c r="I177" s="12"/>
      <c r="J177" s="29" t="s">
        <v>33</v>
      </c>
      <c r="K177" s="29">
        <v>1</v>
      </c>
      <c r="L177" s="29"/>
      <c r="M177" s="25" t="s">
        <v>101</v>
      </c>
      <c r="N177" s="30" t="s">
        <v>36</v>
      </c>
    </row>
    <row r="178" spans="1:14" ht="409.5">
      <c r="A178" s="4">
        <v>18</v>
      </c>
      <c r="B178" s="6" t="s">
        <v>488</v>
      </c>
      <c r="C178" s="4" t="s">
        <v>546</v>
      </c>
      <c r="D178" s="5" t="s">
        <v>550</v>
      </c>
      <c r="E178" s="5" t="s">
        <v>39</v>
      </c>
      <c r="F178" s="6" t="s">
        <v>29</v>
      </c>
      <c r="G178" s="6"/>
      <c r="H178" s="5" t="s">
        <v>525</v>
      </c>
      <c r="I178" s="12"/>
      <c r="J178" s="29" t="s">
        <v>33</v>
      </c>
      <c r="K178" s="29">
        <v>1</v>
      </c>
      <c r="L178" s="29"/>
      <c r="M178" s="25" t="s">
        <v>101</v>
      </c>
      <c r="N178" s="30" t="s">
        <v>36</v>
      </c>
    </row>
    <row r="179" spans="1:14" ht="409.5">
      <c r="A179" s="4">
        <v>18</v>
      </c>
      <c r="B179" s="6" t="s">
        <v>488</v>
      </c>
      <c r="C179" s="4" t="s">
        <v>551</v>
      </c>
      <c r="D179" s="5" t="s">
        <v>531</v>
      </c>
      <c r="E179" s="5" t="s">
        <v>39</v>
      </c>
      <c r="F179" s="6" t="s">
        <v>29</v>
      </c>
      <c r="G179" s="6"/>
      <c r="H179" s="5" t="s">
        <v>525</v>
      </c>
      <c r="I179" s="12"/>
      <c r="J179" s="29" t="s">
        <v>33</v>
      </c>
      <c r="K179" s="29">
        <v>1</v>
      </c>
      <c r="L179" s="29"/>
      <c r="M179" s="25" t="s">
        <v>101</v>
      </c>
      <c r="N179" s="30" t="s">
        <v>36</v>
      </c>
    </row>
    <row r="180" spans="1:14" ht="409.5">
      <c r="A180" s="4">
        <v>18</v>
      </c>
      <c r="B180" s="6" t="s">
        <v>488</v>
      </c>
      <c r="C180" s="4" t="s">
        <v>552</v>
      </c>
      <c r="D180" s="5" t="s">
        <v>533</v>
      </c>
      <c r="E180" s="5" t="s">
        <v>39</v>
      </c>
      <c r="F180" s="6" t="s">
        <v>29</v>
      </c>
      <c r="G180" s="6"/>
      <c r="H180" s="5" t="s">
        <v>525</v>
      </c>
      <c r="I180" s="12"/>
      <c r="J180" s="29" t="s">
        <v>33</v>
      </c>
      <c r="K180" s="29">
        <v>1</v>
      </c>
      <c r="L180" s="29"/>
      <c r="M180" s="25" t="s">
        <v>101</v>
      </c>
      <c r="N180" s="30" t="s">
        <v>36</v>
      </c>
    </row>
    <row r="181" spans="1:14" ht="409.5">
      <c r="A181" s="4">
        <v>19</v>
      </c>
      <c r="B181" s="6" t="s">
        <v>488</v>
      </c>
      <c r="C181" s="4" t="s">
        <v>553</v>
      </c>
      <c r="D181" s="5" t="s">
        <v>535</v>
      </c>
      <c r="E181" s="5" t="s">
        <v>39</v>
      </c>
      <c r="F181" s="6" t="s">
        <v>29</v>
      </c>
      <c r="G181" s="6"/>
      <c r="H181" s="5" t="s">
        <v>525</v>
      </c>
      <c r="I181" s="12"/>
      <c r="J181" s="29" t="s">
        <v>33</v>
      </c>
      <c r="K181" s="29">
        <v>1</v>
      </c>
      <c r="L181" s="29"/>
      <c r="M181" s="25" t="s">
        <v>101</v>
      </c>
      <c r="N181" s="30" t="s">
        <v>36</v>
      </c>
    </row>
    <row r="182" spans="1:14" ht="409.5">
      <c r="A182" s="4">
        <v>19</v>
      </c>
      <c r="B182" s="6" t="s">
        <v>488</v>
      </c>
      <c r="C182" s="4" t="s">
        <v>360</v>
      </c>
      <c r="D182" s="5" t="s">
        <v>554</v>
      </c>
      <c r="E182" s="5" t="s">
        <v>39</v>
      </c>
      <c r="F182" s="6" t="s">
        <v>29</v>
      </c>
      <c r="G182" s="6"/>
      <c r="H182" s="5" t="s">
        <v>525</v>
      </c>
      <c r="I182" s="12"/>
      <c r="J182" s="29" t="s">
        <v>33</v>
      </c>
      <c r="K182" s="29">
        <v>1</v>
      </c>
      <c r="L182" s="29"/>
      <c r="M182" s="25" t="s">
        <v>101</v>
      </c>
      <c r="N182" s="30" t="s">
        <v>36</v>
      </c>
    </row>
    <row r="183" spans="1:14" ht="409.5">
      <c r="A183" s="42">
        <v>19</v>
      </c>
      <c r="B183" s="17" t="s">
        <v>488</v>
      </c>
      <c r="C183" s="42" t="s">
        <v>555</v>
      </c>
      <c r="D183" s="43" t="s">
        <v>556</v>
      </c>
      <c r="E183" s="43" t="s">
        <v>39</v>
      </c>
      <c r="F183" s="17" t="s">
        <v>557</v>
      </c>
      <c r="G183" s="17"/>
      <c r="H183" s="43" t="s">
        <v>558</v>
      </c>
      <c r="I183" s="19" t="s">
        <v>559</v>
      </c>
      <c r="J183" s="44" t="s">
        <v>33</v>
      </c>
      <c r="K183" s="44">
        <v>1</v>
      </c>
      <c r="L183" s="44"/>
      <c r="M183" s="45" t="s">
        <v>560</v>
      </c>
      <c r="N183" s="46" t="s">
        <v>495</v>
      </c>
    </row>
    <row r="184" spans="1:14" ht="409.5">
      <c r="A184" s="4">
        <v>19</v>
      </c>
      <c r="B184" s="6" t="s">
        <v>488</v>
      </c>
      <c r="C184" s="4" t="s">
        <v>561</v>
      </c>
      <c r="D184" s="5" t="s">
        <v>562</v>
      </c>
      <c r="E184" s="5" t="s">
        <v>39</v>
      </c>
      <c r="F184" s="6" t="s">
        <v>29</v>
      </c>
      <c r="G184" s="6"/>
      <c r="H184" s="5" t="s">
        <v>563</v>
      </c>
      <c r="I184" s="12"/>
      <c r="J184" s="29" t="s">
        <v>33</v>
      </c>
      <c r="K184" s="29">
        <v>1</v>
      </c>
      <c r="L184" s="29"/>
      <c r="M184" s="25" t="s">
        <v>469</v>
      </c>
      <c r="N184" s="30" t="s">
        <v>36</v>
      </c>
    </row>
    <row r="185" spans="1:14" ht="409.5">
      <c r="A185" s="4">
        <v>19</v>
      </c>
      <c r="B185" s="4" t="s">
        <v>564</v>
      </c>
      <c r="C185" s="4" t="s">
        <v>565</v>
      </c>
      <c r="D185" s="5" t="s">
        <v>566</v>
      </c>
      <c r="E185" s="5" t="s">
        <v>61</v>
      </c>
      <c r="F185" s="6" t="s">
        <v>29</v>
      </c>
      <c r="G185" s="6"/>
      <c r="H185" s="5" t="s">
        <v>56</v>
      </c>
      <c r="I185" s="12"/>
      <c r="J185" s="29" t="s">
        <v>33</v>
      </c>
      <c r="K185" s="29">
        <v>2</v>
      </c>
      <c r="L185" s="29"/>
      <c r="M185" s="25" t="s">
        <v>567</v>
      </c>
      <c r="N185" s="30" t="s">
        <v>568</v>
      </c>
    </row>
    <row r="186" spans="1:14" ht="409.5">
      <c r="A186" s="42">
        <v>19</v>
      </c>
      <c r="B186" s="42" t="s">
        <v>564</v>
      </c>
      <c r="C186" s="42" t="s">
        <v>569</v>
      </c>
      <c r="D186" s="43" t="s">
        <v>570</v>
      </c>
      <c r="E186" s="43" t="s">
        <v>61</v>
      </c>
      <c r="F186" s="47" t="s">
        <v>29</v>
      </c>
      <c r="G186" s="47"/>
      <c r="H186" s="43" t="s">
        <v>571</v>
      </c>
      <c r="I186" s="19"/>
      <c r="J186" s="44" t="s">
        <v>33</v>
      </c>
      <c r="K186" s="44">
        <v>2</v>
      </c>
      <c r="L186" s="44"/>
      <c r="M186" s="45" t="s">
        <v>572</v>
      </c>
      <c r="N186" s="46" t="s">
        <v>568</v>
      </c>
    </row>
    <row r="187" spans="1:14" ht="409.5">
      <c r="A187" s="4">
        <v>19</v>
      </c>
      <c r="B187" s="4" t="s">
        <v>564</v>
      </c>
      <c r="C187" s="4" t="s">
        <v>573</v>
      </c>
      <c r="D187" s="5" t="s">
        <v>574</v>
      </c>
      <c r="E187" s="5" t="s">
        <v>39</v>
      </c>
      <c r="F187" s="34" t="s">
        <v>29</v>
      </c>
      <c r="G187" s="34"/>
      <c r="H187" s="5" t="s">
        <v>571</v>
      </c>
      <c r="I187" s="12"/>
      <c r="J187" s="29" t="s">
        <v>33</v>
      </c>
      <c r="K187" s="29">
        <v>2</v>
      </c>
      <c r="L187" s="29"/>
      <c r="M187" s="25" t="s">
        <v>572</v>
      </c>
      <c r="N187" s="30" t="s">
        <v>568</v>
      </c>
    </row>
    <row r="188" spans="1:14" ht="409.5">
      <c r="A188" s="4">
        <v>19</v>
      </c>
      <c r="B188" s="4" t="s">
        <v>564</v>
      </c>
      <c r="C188" s="4" t="s">
        <v>575</v>
      </c>
      <c r="D188" s="5" t="s">
        <v>576</v>
      </c>
      <c r="E188" s="5" t="s">
        <v>61</v>
      </c>
      <c r="F188" s="6" t="s">
        <v>29</v>
      </c>
      <c r="G188" s="6"/>
      <c r="H188" s="5" t="s">
        <v>56</v>
      </c>
      <c r="I188" s="12"/>
      <c r="J188" s="29" t="s">
        <v>46</v>
      </c>
      <c r="K188" s="29">
        <v>1</v>
      </c>
      <c r="L188" s="29"/>
      <c r="M188" s="25" t="s">
        <v>48</v>
      </c>
      <c r="N188" s="30" t="s">
        <v>18</v>
      </c>
    </row>
    <row r="189" spans="1:14" ht="356.45">
      <c r="A189" s="4">
        <v>19</v>
      </c>
      <c r="B189" s="4" t="s">
        <v>564</v>
      </c>
      <c r="C189" s="4" t="s">
        <v>577</v>
      </c>
      <c r="D189" s="5" t="s">
        <v>578</v>
      </c>
      <c r="E189" s="5" t="s">
        <v>61</v>
      </c>
      <c r="F189" s="6" t="s">
        <v>29</v>
      </c>
      <c r="G189" s="6"/>
      <c r="H189" s="5" t="s">
        <v>56</v>
      </c>
      <c r="I189" s="12"/>
      <c r="J189" s="29" t="s">
        <v>46</v>
      </c>
      <c r="K189" s="29">
        <v>1</v>
      </c>
      <c r="L189" s="29"/>
      <c r="M189" s="25" t="s">
        <v>48</v>
      </c>
      <c r="N189" s="30" t="s">
        <v>18</v>
      </c>
    </row>
    <row r="190" spans="1:14" ht="409.5">
      <c r="A190" s="4">
        <v>19</v>
      </c>
      <c r="B190" s="4" t="s">
        <v>564</v>
      </c>
      <c r="C190" s="4" t="s">
        <v>579</v>
      </c>
      <c r="D190" s="5" t="s">
        <v>580</v>
      </c>
      <c r="E190" s="5" t="s">
        <v>61</v>
      </c>
      <c r="F190" s="6" t="s">
        <v>29</v>
      </c>
      <c r="G190" s="6"/>
      <c r="H190" s="5" t="s">
        <v>581</v>
      </c>
      <c r="I190" s="12"/>
      <c r="J190" s="29" t="s">
        <v>46</v>
      </c>
      <c r="K190" s="29">
        <v>1</v>
      </c>
      <c r="L190" s="29"/>
      <c r="M190" s="25" t="s">
        <v>48</v>
      </c>
      <c r="N190" s="30" t="s">
        <v>18</v>
      </c>
    </row>
    <row r="191" spans="1:14" ht="409.5">
      <c r="A191" s="4">
        <v>19</v>
      </c>
      <c r="B191" s="4" t="s">
        <v>564</v>
      </c>
      <c r="C191" s="4" t="s">
        <v>582</v>
      </c>
      <c r="D191" s="5" t="s">
        <v>583</v>
      </c>
      <c r="E191" s="5" t="s">
        <v>425</v>
      </c>
      <c r="F191" s="6" t="s">
        <v>29</v>
      </c>
      <c r="G191" s="6"/>
      <c r="H191" s="5" t="s">
        <v>584</v>
      </c>
      <c r="I191" s="12"/>
      <c r="J191" s="29" t="s">
        <v>33</v>
      </c>
      <c r="K191" s="29">
        <v>1</v>
      </c>
      <c r="L191" s="29"/>
      <c r="M191" s="25" t="s">
        <v>585</v>
      </c>
      <c r="N191" s="30" t="s">
        <v>586</v>
      </c>
    </row>
    <row r="192" spans="1:14" ht="409.5">
      <c r="A192" s="4">
        <v>20</v>
      </c>
      <c r="B192" s="4" t="s">
        <v>564</v>
      </c>
      <c r="C192" s="4" t="s">
        <v>582</v>
      </c>
      <c r="D192" s="5" t="s">
        <v>587</v>
      </c>
      <c r="E192" s="5" t="s">
        <v>425</v>
      </c>
      <c r="F192" s="6" t="s">
        <v>29</v>
      </c>
      <c r="G192" s="6"/>
      <c r="H192" s="5" t="s">
        <v>588</v>
      </c>
      <c r="I192" s="12"/>
      <c r="J192" s="29" t="s">
        <v>33</v>
      </c>
      <c r="K192" s="29">
        <v>1</v>
      </c>
      <c r="L192" s="29"/>
      <c r="M192" s="25" t="s">
        <v>585</v>
      </c>
      <c r="N192" s="30" t="s">
        <v>586</v>
      </c>
    </row>
    <row r="193" spans="1:14" ht="409.5">
      <c r="A193" s="4">
        <v>20</v>
      </c>
      <c r="B193" s="4" t="s">
        <v>564</v>
      </c>
      <c r="C193" s="4" t="s">
        <v>589</v>
      </c>
      <c r="D193" s="5" t="s">
        <v>590</v>
      </c>
      <c r="E193" s="5" t="s">
        <v>425</v>
      </c>
      <c r="F193" s="6" t="s">
        <v>29</v>
      </c>
      <c r="G193" s="6"/>
      <c r="H193" s="5" t="s">
        <v>56</v>
      </c>
      <c r="I193" s="12"/>
      <c r="J193" s="29" t="s">
        <v>33</v>
      </c>
      <c r="K193" s="29">
        <v>1</v>
      </c>
      <c r="L193" s="29"/>
      <c r="M193" s="25" t="s">
        <v>585</v>
      </c>
      <c r="N193" s="30" t="s">
        <v>586</v>
      </c>
    </row>
    <row r="194" spans="1:14" ht="409.5">
      <c r="A194" s="4">
        <v>20</v>
      </c>
      <c r="B194" s="4" t="s">
        <v>564</v>
      </c>
      <c r="C194" s="4" t="s">
        <v>591</v>
      </c>
      <c r="D194" s="5" t="s">
        <v>592</v>
      </c>
      <c r="E194" s="5" t="s">
        <v>425</v>
      </c>
      <c r="F194" s="6" t="s">
        <v>29</v>
      </c>
      <c r="G194" s="6"/>
      <c r="H194" s="5" t="s">
        <v>56</v>
      </c>
      <c r="I194" s="12"/>
      <c r="J194" s="29" t="s">
        <v>33</v>
      </c>
      <c r="K194" s="29">
        <v>1</v>
      </c>
      <c r="L194" s="29"/>
      <c r="M194" s="25" t="s">
        <v>585</v>
      </c>
      <c r="N194" s="30" t="s">
        <v>586</v>
      </c>
    </row>
    <row r="195" spans="1:14" ht="409.5">
      <c r="A195" s="4">
        <v>20</v>
      </c>
      <c r="B195" s="4" t="s">
        <v>564</v>
      </c>
      <c r="C195" s="4" t="s">
        <v>593</v>
      </c>
      <c r="D195" s="5" t="s">
        <v>594</v>
      </c>
      <c r="E195" s="5" t="s">
        <v>425</v>
      </c>
      <c r="F195" s="6" t="s">
        <v>29</v>
      </c>
      <c r="G195" s="6"/>
      <c r="H195" s="5" t="s">
        <v>56</v>
      </c>
      <c r="I195" s="12"/>
      <c r="J195" s="29" t="s">
        <v>33</v>
      </c>
      <c r="K195" s="29">
        <v>1</v>
      </c>
      <c r="L195" s="29"/>
      <c r="M195" s="25" t="s">
        <v>585</v>
      </c>
      <c r="N195" s="30" t="s">
        <v>586</v>
      </c>
    </row>
    <row r="196" spans="1:14" ht="409.5">
      <c r="A196" s="4">
        <v>20</v>
      </c>
      <c r="B196" s="4" t="s">
        <v>564</v>
      </c>
      <c r="C196" s="4" t="s">
        <v>595</v>
      </c>
      <c r="D196" s="5" t="s">
        <v>596</v>
      </c>
      <c r="E196" s="5" t="s">
        <v>425</v>
      </c>
      <c r="F196" s="6" t="s">
        <v>29</v>
      </c>
      <c r="G196" s="6"/>
      <c r="H196" s="5" t="s">
        <v>56</v>
      </c>
      <c r="I196" s="12"/>
      <c r="J196" s="29" t="s">
        <v>33</v>
      </c>
      <c r="K196" s="29">
        <v>1</v>
      </c>
      <c r="L196" s="29"/>
      <c r="M196" s="25" t="s">
        <v>585</v>
      </c>
      <c r="N196" s="30" t="s">
        <v>586</v>
      </c>
    </row>
    <row r="197" spans="1:14" ht="409.5">
      <c r="A197" s="48">
        <v>20</v>
      </c>
      <c r="B197" s="48" t="s">
        <v>564</v>
      </c>
      <c r="C197" s="48" t="s">
        <v>160</v>
      </c>
      <c r="D197" s="49" t="s">
        <v>597</v>
      </c>
      <c r="E197" s="49" t="s">
        <v>425</v>
      </c>
      <c r="F197" s="50" t="s">
        <v>557</v>
      </c>
      <c r="G197" s="50"/>
      <c r="H197" s="49" t="s">
        <v>598</v>
      </c>
      <c r="I197" s="51"/>
      <c r="J197" s="52" t="s">
        <v>33</v>
      </c>
      <c r="K197" s="52">
        <v>2</v>
      </c>
      <c r="L197" s="52"/>
      <c r="M197" s="53" t="s">
        <v>585</v>
      </c>
      <c r="N197" s="54" t="s">
        <v>36</v>
      </c>
    </row>
    <row r="198" spans="1:14" ht="409.5">
      <c r="A198" s="4">
        <v>20</v>
      </c>
      <c r="B198" s="4" t="s">
        <v>564</v>
      </c>
      <c r="C198" s="4" t="s">
        <v>599</v>
      </c>
      <c r="D198" s="5" t="s">
        <v>600</v>
      </c>
      <c r="E198" s="5" t="s">
        <v>425</v>
      </c>
      <c r="F198" s="6" t="s">
        <v>557</v>
      </c>
      <c r="G198" s="6"/>
      <c r="H198" s="5" t="s">
        <v>601</v>
      </c>
      <c r="I198" s="12"/>
      <c r="J198" s="29" t="s">
        <v>33</v>
      </c>
      <c r="K198" s="29">
        <v>2</v>
      </c>
      <c r="L198" s="29"/>
      <c r="M198" s="25" t="s">
        <v>585</v>
      </c>
      <c r="N198" s="30" t="s">
        <v>36</v>
      </c>
    </row>
    <row r="199" spans="1:14" ht="409.5">
      <c r="A199" s="4">
        <v>20</v>
      </c>
      <c r="B199" s="4" t="s">
        <v>564</v>
      </c>
      <c r="C199" s="4" t="s">
        <v>602</v>
      </c>
      <c r="D199" s="5" t="s">
        <v>603</v>
      </c>
      <c r="E199" s="5" t="s">
        <v>425</v>
      </c>
      <c r="F199" s="6" t="s">
        <v>557</v>
      </c>
      <c r="G199" s="6"/>
      <c r="H199" s="5" t="s">
        <v>601</v>
      </c>
      <c r="I199" s="12"/>
      <c r="J199" s="29" t="s">
        <v>33</v>
      </c>
      <c r="K199" s="29">
        <v>2</v>
      </c>
      <c r="L199" s="29"/>
      <c r="M199" s="25" t="s">
        <v>585</v>
      </c>
      <c r="N199" s="30" t="s">
        <v>36</v>
      </c>
    </row>
    <row r="200" spans="1:14" ht="409.5">
      <c r="A200" s="4">
        <v>20</v>
      </c>
      <c r="B200" s="4" t="s">
        <v>564</v>
      </c>
      <c r="C200" s="4" t="s">
        <v>604</v>
      </c>
      <c r="D200" s="5" t="s">
        <v>605</v>
      </c>
      <c r="E200" s="5" t="s">
        <v>61</v>
      </c>
      <c r="F200" s="6" t="s">
        <v>29</v>
      </c>
      <c r="G200" s="6"/>
      <c r="H200" s="5" t="s">
        <v>56</v>
      </c>
      <c r="I200" s="12"/>
      <c r="J200" s="29" t="s">
        <v>33</v>
      </c>
      <c r="K200" s="29">
        <v>1</v>
      </c>
      <c r="L200" s="29"/>
      <c r="M200" s="25" t="s">
        <v>585</v>
      </c>
      <c r="N200" s="30" t="s">
        <v>18</v>
      </c>
    </row>
    <row r="201" spans="1:14" ht="409.5">
      <c r="A201" s="4">
        <v>20</v>
      </c>
      <c r="B201" s="4" t="s">
        <v>564</v>
      </c>
      <c r="C201" s="4" t="s">
        <v>606</v>
      </c>
      <c r="D201" s="5" t="s">
        <v>607</v>
      </c>
      <c r="E201" s="5" t="s">
        <v>61</v>
      </c>
      <c r="F201" s="6" t="s">
        <v>29</v>
      </c>
      <c r="G201" s="6"/>
      <c r="H201" s="5" t="s">
        <v>56</v>
      </c>
      <c r="I201" s="12"/>
      <c r="J201" s="29" t="s">
        <v>33</v>
      </c>
      <c r="K201" s="29">
        <v>1</v>
      </c>
      <c r="L201" s="29"/>
      <c r="M201" s="25" t="s">
        <v>585</v>
      </c>
      <c r="N201" s="30" t="s">
        <v>18</v>
      </c>
    </row>
    <row r="202" spans="1:14" ht="409.5">
      <c r="A202" s="4">
        <v>20</v>
      </c>
      <c r="B202" s="4" t="s">
        <v>564</v>
      </c>
      <c r="C202" s="4" t="s">
        <v>608</v>
      </c>
      <c r="D202" s="5" t="s">
        <v>609</v>
      </c>
      <c r="E202" s="5" t="s">
        <v>61</v>
      </c>
      <c r="F202" s="6" t="s">
        <v>29</v>
      </c>
      <c r="G202" s="6"/>
      <c r="H202" s="5" t="s">
        <v>56</v>
      </c>
      <c r="I202" s="12"/>
      <c r="J202" s="29" t="s">
        <v>33</v>
      </c>
      <c r="K202" s="29">
        <v>1</v>
      </c>
      <c r="L202" s="29"/>
      <c r="M202" s="25" t="s">
        <v>585</v>
      </c>
      <c r="N202" s="30" t="s">
        <v>18</v>
      </c>
    </row>
    <row r="203" spans="1:14" ht="409.5">
      <c r="A203" s="4">
        <v>21</v>
      </c>
      <c r="B203" s="4" t="s">
        <v>564</v>
      </c>
      <c r="C203" s="4" t="s">
        <v>610</v>
      </c>
      <c r="D203" s="5" t="s">
        <v>609</v>
      </c>
      <c r="E203" s="5" t="s">
        <v>61</v>
      </c>
      <c r="F203" s="6" t="s">
        <v>29</v>
      </c>
      <c r="G203" s="6"/>
      <c r="H203" s="5" t="s">
        <v>56</v>
      </c>
      <c r="I203" s="12"/>
      <c r="J203" s="29" t="s">
        <v>33</v>
      </c>
      <c r="K203" s="29">
        <v>1</v>
      </c>
      <c r="L203" s="29"/>
      <c r="M203" s="25" t="s">
        <v>585</v>
      </c>
      <c r="N203" s="30" t="s">
        <v>18</v>
      </c>
    </row>
    <row r="204" spans="1:14" ht="409.5">
      <c r="A204" s="4">
        <v>21</v>
      </c>
      <c r="B204" s="4" t="s">
        <v>564</v>
      </c>
      <c r="C204" s="4" t="s">
        <v>611</v>
      </c>
      <c r="D204" s="5" t="s">
        <v>612</v>
      </c>
      <c r="E204" s="5" t="s">
        <v>61</v>
      </c>
      <c r="F204" s="6" t="s">
        <v>29</v>
      </c>
      <c r="G204" s="6"/>
      <c r="H204" s="5" t="s">
        <v>56</v>
      </c>
      <c r="I204" s="12"/>
      <c r="J204" s="29" t="s">
        <v>33</v>
      </c>
      <c r="K204" s="29">
        <v>1</v>
      </c>
      <c r="L204" s="29"/>
      <c r="M204" s="25" t="s">
        <v>585</v>
      </c>
      <c r="N204" s="30" t="s">
        <v>18</v>
      </c>
    </row>
    <row r="205" spans="1:14" ht="409.5">
      <c r="A205" s="4">
        <v>21</v>
      </c>
      <c r="B205" s="4" t="s">
        <v>564</v>
      </c>
      <c r="C205" s="4" t="s">
        <v>613</v>
      </c>
      <c r="D205" s="5" t="s">
        <v>614</v>
      </c>
      <c r="E205" s="5" t="s">
        <v>61</v>
      </c>
      <c r="F205" s="6" t="s">
        <v>29</v>
      </c>
      <c r="G205" s="6"/>
      <c r="H205" s="5" t="s">
        <v>56</v>
      </c>
      <c r="I205" s="12"/>
      <c r="J205" s="29" t="s">
        <v>33</v>
      </c>
      <c r="K205" s="29">
        <v>1</v>
      </c>
      <c r="L205" s="29"/>
      <c r="M205" s="25" t="s">
        <v>585</v>
      </c>
      <c r="N205" s="30" t="s">
        <v>18</v>
      </c>
    </row>
    <row r="206" spans="1:14" ht="409.5">
      <c r="A206" s="4">
        <v>21</v>
      </c>
      <c r="B206" s="4" t="s">
        <v>564</v>
      </c>
      <c r="C206" s="4" t="s">
        <v>613</v>
      </c>
      <c r="D206" s="5" t="s">
        <v>615</v>
      </c>
      <c r="E206" s="5" t="s">
        <v>61</v>
      </c>
      <c r="F206" s="6" t="s">
        <v>29</v>
      </c>
      <c r="G206" s="6"/>
      <c r="H206" s="5" t="s">
        <v>56</v>
      </c>
      <c r="I206" s="12"/>
      <c r="J206" s="29" t="s">
        <v>33</v>
      </c>
      <c r="K206" s="29">
        <v>1</v>
      </c>
      <c r="L206" s="29"/>
      <c r="M206" s="25" t="s">
        <v>585</v>
      </c>
      <c r="N206" s="30" t="s">
        <v>18</v>
      </c>
    </row>
    <row r="207" spans="1:14" ht="409.5">
      <c r="A207" s="4">
        <v>21</v>
      </c>
      <c r="B207" s="4" t="s">
        <v>564</v>
      </c>
      <c r="C207" s="4" t="s">
        <v>616</v>
      </c>
      <c r="D207" s="5" t="s">
        <v>617</v>
      </c>
      <c r="E207" s="5" t="s">
        <v>61</v>
      </c>
      <c r="F207" s="6" t="s">
        <v>29</v>
      </c>
      <c r="G207" s="6"/>
      <c r="H207" s="5" t="s">
        <v>56</v>
      </c>
      <c r="I207" s="12"/>
      <c r="J207" s="29" t="s">
        <v>33</v>
      </c>
      <c r="K207" s="29">
        <v>1</v>
      </c>
      <c r="L207" s="29"/>
      <c r="M207" s="25" t="s">
        <v>585</v>
      </c>
      <c r="N207" s="30" t="s">
        <v>18</v>
      </c>
    </row>
    <row r="208" spans="1:14" ht="409.5">
      <c r="A208" s="4">
        <v>21</v>
      </c>
      <c r="B208" s="4" t="s">
        <v>564</v>
      </c>
      <c r="C208" s="4" t="s">
        <v>618</v>
      </c>
      <c r="D208" s="5" t="s">
        <v>619</v>
      </c>
      <c r="E208" s="5" t="s">
        <v>61</v>
      </c>
      <c r="F208" s="6" t="s">
        <v>29</v>
      </c>
      <c r="G208" s="6"/>
      <c r="H208" s="5" t="s">
        <v>56</v>
      </c>
      <c r="I208" s="12"/>
      <c r="J208" s="29" t="s">
        <v>33</v>
      </c>
      <c r="K208" s="29">
        <v>1</v>
      </c>
      <c r="L208" s="29"/>
      <c r="M208" s="25" t="s">
        <v>585</v>
      </c>
      <c r="N208" s="30" t="s">
        <v>18</v>
      </c>
    </row>
    <row r="209" spans="1:14" ht="409.5">
      <c r="A209" s="4">
        <v>21</v>
      </c>
      <c r="B209" s="4" t="s">
        <v>564</v>
      </c>
      <c r="C209" s="4" t="s">
        <v>620</v>
      </c>
      <c r="D209" s="5" t="s">
        <v>621</v>
      </c>
      <c r="E209" s="5" t="s">
        <v>61</v>
      </c>
      <c r="F209" s="6" t="s">
        <v>29</v>
      </c>
      <c r="G209" s="6"/>
      <c r="H209" s="5" t="s">
        <v>56</v>
      </c>
      <c r="I209" s="12"/>
      <c r="J209" s="29" t="s">
        <v>33</v>
      </c>
      <c r="K209" s="29">
        <v>1</v>
      </c>
      <c r="L209" s="29"/>
      <c r="M209" s="25" t="s">
        <v>585</v>
      </c>
      <c r="N209" s="30" t="s">
        <v>18</v>
      </c>
    </row>
    <row r="210" spans="1:14" ht="409.5">
      <c r="A210" s="4">
        <v>21</v>
      </c>
      <c r="B210" s="4" t="s">
        <v>564</v>
      </c>
      <c r="C210" s="4" t="s">
        <v>622</v>
      </c>
      <c r="D210" s="5" t="s">
        <v>623</v>
      </c>
      <c r="E210" s="5" t="s">
        <v>39</v>
      </c>
      <c r="F210" s="6" t="s">
        <v>29</v>
      </c>
      <c r="G210" s="6"/>
      <c r="H210" s="5" t="s">
        <v>624</v>
      </c>
      <c r="I210" s="12"/>
      <c r="J210" s="29" t="s">
        <v>33</v>
      </c>
      <c r="K210" s="29">
        <v>1</v>
      </c>
      <c r="L210" s="29"/>
      <c r="M210" s="25" t="s">
        <v>101</v>
      </c>
      <c r="N210" s="30" t="s">
        <v>18</v>
      </c>
    </row>
    <row r="211" spans="1:14" ht="409.5">
      <c r="A211" s="4">
        <v>21</v>
      </c>
      <c r="B211" s="4" t="s">
        <v>564</v>
      </c>
      <c r="C211" s="4" t="s">
        <v>625</v>
      </c>
      <c r="D211" s="5" t="s">
        <v>626</v>
      </c>
      <c r="E211" s="5" t="s">
        <v>39</v>
      </c>
      <c r="F211" s="6" t="s">
        <v>29</v>
      </c>
      <c r="G211" s="6"/>
      <c r="H211" s="5" t="s">
        <v>627</v>
      </c>
      <c r="I211" s="12"/>
      <c r="J211" s="29" t="s">
        <v>33</v>
      </c>
      <c r="K211" s="29">
        <v>1</v>
      </c>
      <c r="L211" s="29"/>
      <c r="M211" s="25" t="s">
        <v>101</v>
      </c>
      <c r="N211" s="30" t="s">
        <v>18</v>
      </c>
    </row>
    <row r="212" spans="1:14" ht="409.5">
      <c r="A212" s="48">
        <v>21</v>
      </c>
      <c r="B212" s="48" t="s">
        <v>564</v>
      </c>
      <c r="C212" s="48" t="s">
        <v>163</v>
      </c>
      <c r="D212" s="49" t="s">
        <v>628</v>
      </c>
      <c r="E212" s="57" t="s">
        <v>39</v>
      </c>
      <c r="F212" s="50" t="s">
        <v>29</v>
      </c>
      <c r="G212" s="50"/>
      <c r="H212" s="49" t="s">
        <v>629</v>
      </c>
      <c r="I212" s="51"/>
      <c r="J212" s="52" t="s">
        <v>33</v>
      </c>
      <c r="K212" s="52">
        <v>1</v>
      </c>
      <c r="L212" s="52"/>
      <c r="M212" s="53" t="s">
        <v>630</v>
      </c>
      <c r="N212" s="54" t="s">
        <v>18</v>
      </c>
    </row>
    <row r="213" spans="1:14" ht="409.5">
      <c r="A213" s="4">
        <v>21</v>
      </c>
      <c r="B213" s="4" t="s">
        <v>564</v>
      </c>
      <c r="C213" s="4" t="s">
        <v>631</v>
      </c>
      <c r="D213" s="5" t="s">
        <v>632</v>
      </c>
      <c r="E213" s="35" t="s">
        <v>39</v>
      </c>
      <c r="F213" s="6" t="s">
        <v>29</v>
      </c>
      <c r="G213" s="6"/>
      <c r="H213" s="5" t="s">
        <v>633</v>
      </c>
      <c r="I213" s="12"/>
      <c r="J213" s="29" t="s">
        <v>33</v>
      </c>
      <c r="K213" s="29">
        <v>1</v>
      </c>
      <c r="L213" s="29"/>
      <c r="M213" s="25" t="s">
        <v>630</v>
      </c>
      <c r="N213" s="30" t="s">
        <v>18</v>
      </c>
    </row>
    <row r="214" spans="1:14" ht="409.5">
      <c r="A214" s="4">
        <v>21</v>
      </c>
      <c r="B214" s="4" t="s">
        <v>564</v>
      </c>
      <c r="C214" s="4" t="s">
        <v>634</v>
      </c>
      <c r="D214" s="5" t="s">
        <v>635</v>
      </c>
      <c r="E214" s="35" t="s">
        <v>39</v>
      </c>
      <c r="F214" s="6" t="s">
        <v>29</v>
      </c>
      <c r="G214" s="6"/>
      <c r="H214" s="5" t="s">
        <v>56</v>
      </c>
      <c r="I214" s="12"/>
      <c r="J214" s="29" t="s">
        <v>33</v>
      </c>
      <c r="K214" s="29">
        <v>1</v>
      </c>
      <c r="L214" s="29"/>
      <c r="M214" s="25" t="s">
        <v>630</v>
      </c>
      <c r="N214" s="30" t="s">
        <v>18</v>
      </c>
    </row>
    <row r="215" spans="1:14" ht="409.5">
      <c r="A215" s="4">
        <v>21</v>
      </c>
      <c r="B215" s="4" t="s">
        <v>564</v>
      </c>
      <c r="C215" s="4" t="s">
        <v>636</v>
      </c>
      <c r="D215" s="5" t="s">
        <v>637</v>
      </c>
      <c r="E215" s="35" t="s">
        <v>39</v>
      </c>
      <c r="F215" s="6" t="s">
        <v>29</v>
      </c>
      <c r="G215" s="6"/>
      <c r="H215" s="5" t="s">
        <v>638</v>
      </c>
      <c r="I215" s="12"/>
      <c r="J215" s="29" t="s">
        <v>33</v>
      </c>
      <c r="K215" s="29">
        <v>1</v>
      </c>
      <c r="L215" s="29"/>
      <c r="M215" s="25" t="s">
        <v>630</v>
      </c>
      <c r="N215" s="30" t="s">
        <v>18</v>
      </c>
    </row>
    <row r="216" spans="1:14" ht="409.5">
      <c r="A216" s="48">
        <v>21</v>
      </c>
      <c r="B216" s="48" t="s">
        <v>564</v>
      </c>
      <c r="C216" s="48" t="s">
        <v>166</v>
      </c>
      <c r="D216" s="49" t="s">
        <v>639</v>
      </c>
      <c r="E216" s="57" t="s">
        <v>39</v>
      </c>
      <c r="F216" s="50" t="s">
        <v>29</v>
      </c>
      <c r="G216" s="50"/>
      <c r="H216" s="49" t="s">
        <v>640</v>
      </c>
      <c r="I216" s="51"/>
      <c r="J216" s="52" t="s">
        <v>33</v>
      </c>
      <c r="K216" s="52">
        <v>1</v>
      </c>
      <c r="L216" s="52"/>
      <c r="M216" s="53" t="s">
        <v>630</v>
      </c>
      <c r="N216" s="54" t="s">
        <v>18</v>
      </c>
    </row>
    <row r="217" spans="1:14" ht="409.5">
      <c r="A217" s="4">
        <v>21</v>
      </c>
      <c r="B217" s="4" t="s">
        <v>564</v>
      </c>
      <c r="C217" s="4" t="s">
        <v>641</v>
      </c>
      <c r="D217" s="5" t="s">
        <v>642</v>
      </c>
      <c r="E217" s="35" t="s">
        <v>39</v>
      </c>
      <c r="F217" s="6" t="s">
        <v>29</v>
      </c>
      <c r="G217" s="6"/>
      <c r="H217" s="5" t="s">
        <v>633</v>
      </c>
      <c r="I217" s="12"/>
      <c r="J217" s="29" t="s">
        <v>33</v>
      </c>
      <c r="K217" s="29">
        <v>1</v>
      </c>
      <c r="L217" s="29"/>
      <c r="M217" s="25" t="s">
        <v>630</v>
      </c>
      <c r="N217" s="30" t="s">
        <v>18</v>
      </c>
    </row>
    <row r="218" spans="1:14" ht="409.5">
      <c r="A218" s="4">
        <v>21</v>
      </c>
      <c r="B218" s="4" t="s">
        <v>564</v>
      </c>
      <c r="C218" s="4" t="s">
        <v>643</v>
      </c>
      <c r="D218" s="5" t="s">
        <v>644</v>
      </c>
      <c r="E218" s="35" t="s">
        <v>39</v>
      </c>
      <c r="F218" s="6" t="s">
        <v>29</v>
      </c>
      <c r="G218" s="6"/>
      <c r="H218" s="5" t="s">
        <v>56</v>
      </c>
      <c r="I218" s="12"/>
      <c r="J218" s="29" t="s">
        <v>33</v>
      </c>
      <c r="K218" s="29">
        <v>1</v>
      </c>
      <c r="L218" s="29"/>
      <c r="M218" s="25" t="s">
        <v>630</v>
      </c>
      <c r="N218" s="30" t="s">
        <v>18</v>
      </c>
    </row>
    <row r="219" spans="1:14" ht="409.5">
      <c r="A219" s="4">
        <v>21</v>
      </c>
      <c r="B219" s="4" t="s">
        <v>564</v>
      </c>
      <c r="C219" s="4" t="s">
        <v>645</v>
      </c>
      <c r="D219" s="5" t="s">
        <v>646</v>
      </c>
      <c r="E219" s="35" t="s">
        <v>39</v>
      </c>
      <c r="F219" s="6" t="s">
        <v>29</v>
      </c>
      <c r="G219" s="6"/>
      <c r="H219" s="5" t="s">
        <v>56</v>
      </c>
      <c r="I219" s="12"/>
      <c r="J219" s="29" t="s">
        <v>33</v>
      </c>
      <c r="K219" s="29">
        <v>1</v>
      </c>
      <c r="L219" s="29"/>
      <c r="M219" s="25" t="s">
        <v>630</v>
      </c>
      <c r="N219" s="30" t="s">
        <v>18</v>
      </c>
    </row>
    <row r="220" spans="1:14" ht="341.1">
      <c r="A220" s="4">
        <v>21</v>
      </c>
      <c r="B220" s="4" t="s">
        <v>564</v>
      </c>
      <c r="C220" s="4" t="s">
        <v>647</v>
      </c>
      <c r="D220" s="5" t="s">
        <v>648</v>
      </c>
      <c r="E220" s="5" t="s">
        <v>39</v>
      </c>
      <c r="F220" s="6" t="s">
        <v>29</v>
      </c>
      <c r="G220" s="6"/>
      <c r="H220" s="5" t="s">
        <v>649</v>
      </c>
      <c r="I220" s="12"/>
      <c r="J220" s="29" t="s">
        <v>33</v>
      </c>
      <c r="K220" s="29">
        <v>1</v>
      </c>
      <c r="L220" s="29"/>
      <c r="M220" s="25" t="s">
        <v>101</v>
      </c>
      <c r="N220" s="30" t="s">
        <v>18</v>
      </c>
    </row>
    <row r="221" spans="1:14" ht="402.95">
      <c r="A221" s="48">
        <v>21</v>
      </c>
      <c r="B221" s="48" t="s">
        <v>564</v>
      </c>
      <c r="C221" s="48" t="s">
        <v>650</v>
      </c>
      <c r="D221" s="49" t="s">
        <v>651</v>
      </c>
      <c r="E221" s="57" t="s">
        <v>39</v>
      </c>
      <c r="F221" s="56" t="s">
        <v>29</v>
      </c>
      <c r="G221" s="56"/>
      <c r="H221" s="49" t="s">
        <v>652</v>
      </c>
      <c r="I221" s="51"/>
      <c r="J221" s="52" t="s">
        <v>33</v>
      </c>
      <c r="K221" s="52">
        <v>1</v>
      </c>
      <c r="L221" s="52"/>
      <c r="M221" s="53" t="s">
        <v>653</v>
      </c>
      <c r="N221" s="54" t="s">
        <v>18</v>
      </c>
    </row>
    <row r="222" spans="1:14" ht="409.5">
      <c r="A222" s="4">
        <v>21</v>
      </c>
      <c r="B222" s="4" t="s">
        <v>564</v>
      </c>
      <c r="C222" s="4" t="s">
        <v>654</v>
      </c>
      <c r="D222" s="5" t="s">
        <v>655</v>
      </c>
      <c r="E222" s="35" t="s">
        <v>39</v>
      </c>
      <c r="F222" s="34" t="s">
        <v>29</v>
      </c>
      <c r="G222" s="34"/>
      <c r="H222" s="5" t="s">
        <v>656</v>
      </c>
      <c r="I222" s="12"/>
      <c r="J222" s="29" t="s">
        <v>33</v>
      </c>
      <c r="K222" s="29">
        <v>1</v>
      </c>
      <c r="L222" s="29"/>
      <c r="M222" s="25" t="s">
        <v>653</v>
      </c>
      <c r="N222" s="30" t="s">
        <v>18</v>
      </c>
    </row>
    <row r="223" spans="1:14" ht="409.5">
      <c r="A223" s="4">
        <v>22</v>
      </c>
      <c r="B223" s="4" t="s">
        <v>564</v>
      </c>
      <c r="C223" s="4" t="s">
        <v>657</v>
      </c>
      <c r="D223" s="5" t="s">
        <v>658</v>
      </c>
      <c r="E223" s="35" t="s">
        <v>39</v>
      </c>
      <c r="F223" s="34" t="s">
        <v>29</v>
      </c>
      <c r="G223" s="34"/>
      <c r="H223" s="5" t="s">
        <v>659</v>
      </c>
      <c r="I223" s="12"/>
      <c r="J223" s="29" t="s">
        <v>33</v>
      </c>
      <c r="K223" s="29">
        <v>1</v>
      </c>
      <c r="L223" s="29"/>
      <c r="M223" s="25" t="s">
        <v>653</v>
      </c>
      <c r="N223" s="30" t="s">
        <v>18</v>
      </c>
    </row>
    <row r="224" spans="1:14" ht="402.95">
      <c r="A224" s="48">
        <v>22</v>
      </c>
      <c r="B224" s="48" t="s">
        <v>564</v>
      </c>
      <c r="C224" s="48" t="s">
        <v>660</v>
      </c>
      <c r="D224" s="49" t="s">
        <v>661</v>
      </c>
      <c r="E224" s="57" t="s">
        <v>39</v>
      </c>
      <c r="F224" s="56" t="s">
        <v>29</v>
      </c>
      <c r="G224" s="56"/>
      <c r="H224" s="49" t="s">
        <v>662</v>
      </c>
      <c r="I224" s="51"/>
      <c r="J224" s="52" t="s">
        <v>33</v>
      </c>
      <c r="K224" s="52">
        <v>1</v>
      </c>
      <c r="L224" s="52"/>
      <c r="M224" s="53" t="s">
        <v>653</v>
      </c>
      <c r="N224" s="54" t="s">
        <v>18</v>
      </c>
    </row>
    <row r="225" spans="1:14" ht="409.5">
      <c r="A225" s="4">
        <v>22</v>
      </c>
      <c r="B225" s="4" t="s">
        <v>564</v>
      </c>
      <c r="C225" s="4" t="s">
        <v>663</v>
      </c>
      <c r="D225" s="5" t="s">
        <v>664</v>
      </c>
      <c r="E225" s="35" t="s">
        <v>39</v>
      </c>
      <c r="F225" s="34" t="s">
        <v>29</v>
      </c>
      <c r="G225" s="34"/>
      <c r="H225" s="5" t="s">
        <v>665</v>
      </c>
      <c r="I225" s="12"/>
      <c r="J225" s="29" t="s">
        <v>33</v>
      </c>
      <c r="K225" s="29">
        <v>1</v>
      </c>
      <c r="L225" s="29"/>
      <c r="M225" s="25" t="s">
        <v>653</v>
      </c>
      <c r="N225" s="30" t="s">
        <v>18</v>
      </c>
    </row>
    <row r="226" spans="1:14" ht="409.5">
      <c r="A226" s="4">
        <v>22</v>
      </c>
      <c r="B226" s="4" t="s">
        <v>564</v>
      </c>
      <c r="C226" s="4" t="s">
        <v>666</v>
      </c>
      <c r="D226" s="5" t="s">
        <v>667</v>
      </c>
      <c r="E226" s="35" t="s">
        <v>39</v>
      </c>
      <c r="F226" s="34" t="s">
        <v>29</v>
      </c>
      <c r="G226" s="34"/>
      <c r="H226" s="5" t="s">
        <v>668</v>
      </c>
      <c r="I226" s="12"/>
      <c r="J226" s="29" t="s">
        <v>33</v>
      </c>
      <c r="K226" s="29">
        <v>1</v>
      </c>
      <c r="L226" s="29"/>
      <c r="M226" s="25" t="s">
        <v>653</v>
      </c>
      <c r="N226" s="30" t="s">
        <v>18</v>
      </c>
    </row>
    <row r="227" spans="1:14" ht="409.5">
      <c r="A227" s="4">
        <v>22</v>
      </c>
      <c r="B227" s="4" t="s">
        <v>564</v>
      </c>
      <c r="C227" s="4" t="s">
        <v>669</v>
      </c>
      <c r="D227" s="5" t="s">
        <v>670</v>
      </c>
      <c r="E227" s="35" t="s">
        <v>39</v>
      </c>
      <c r="F227" s="34" t="s">
        <v>29</v>
      </c>
      <c r="G227" s="34"/>
      <c r="H227" s="5" t="s">
        <v>671</v>
      </c>
      <c r="I227" s="12"/>
      <c r="J227" s="29" t="s">
        <v>33</v>
      </c>
      <c r="K227" s="29">
        <v>1</v>
      </c>
      <c r="L227" s="29"/>
      <c r="M227" s="25" t="s">
        <v>653</v>
      </c>
      <c r="N227" s="30" t="s">
        <v>18</v>
      </c>
    </row>
    <row r="228" spans="1:14" ht="402.95">
      <c r="A228" s="48">
        <v>22</v>
      </c>
      <c r="B228" s="48" t="s">
        <v>564</v>
      </c>
      <c r="C228" s="48" t="s">
        <v>672</v>
      </c>
      <c r="D228" s="49" t="s">
        <v>673</v>
      </c>
      <c r="E228" s="49" t="s">
        <v>425</v>
      </c>
      <c r="F228" s="56" t="s">
        <v>29</v>
      </c>
      <c r="G228" s="56"/>
      <c r="H228" s="49" t="s">
        <v>674</v>
      </c>
      <c r="I228" s="51"/>
      <c r="J228" s="52" t="s">
        <v>33</v>
      </c>
      <c r="K228" s="52">
        <v>1</v>
      </c>
      <c r="L228" s="52"/>
      <c r="M228" s="53" t="s">
        <v>675</v>
      </c>
      <c r="N228" s="54" t="s">
        <v>18</v>
      </c>
    </row>
    <row r="229" spans="1:14" ht="409.5">
      <c r="A229" s="4">
        <v>22</v>
      </c>
      <c r="B229" s="4" t="s">
        <v>564</v>
      </c>
      <c r="C229" s="4" t="s">
        <v>676</v>
      </c>
      <c r="D229" s="5" t="s">
        <v>677</v>
      </c>
      <c r="E229" s="5" t="s">
        <v>425</v>
      </c>
      <c r="F229" s="34" t="s">
        <v>29</v>
      </c>
      <c r="G229" s="34"/>
      <c r="H229" s="5" t="s">
        <v>678</v>
      </c>
      <c r="I229" s="12"/>
      <c r="J229" s="29" t="s">
        <v>33</v>
      </c>
      <c r="K229" s="29">
        <v>1</v>
      </c>
      <c r="L229" s="29"/>
      <c r="M229" s="25" t="s">
        <v>675</v>
      </c>
      <c r="N229" s="30" t="s">
        <v>18</v>
      </c>
    </row>
    <row r="230" spans="1:14" ht="409.5">
      <c r="A230" s="4">
        <v>22</v>
      </c>
      <c r="B230" s="4" t="s">
        <v>564</v>
      </c>
      <c r="C230" s="4" t="s">
        <v>679</v>
      </c>
      <c r="D230" s="5" t="s">
        <v>680</v>
      </c>
      <c r="E230" s="5" t="s">
        <v>425</v>
      </c>
      <c r="F230" s="34" t="s">
        <v>29</v>
      </c>
      <c r="G230" s="34"/>
      <c r="H230" s="5" t="s">
        <v>681</v>
      </c>
      <c r="I230" s="12"/>
      <c r="J230" s="29" t="s">
        <v>33</v>
      </c>
      <c r="K230" s="29">
        <v>1</v>
      </c>
      <c r="L230" s="29"/>
      <c r="M230" s="25" t="s">
        <v>675</v>
      </c>
      <c r="N230" s="30" t="s">
        <v>18</v>
      </c>
    </row>
    <row r="231" spans="1:14" ht="409.5">
      <c r="A231" s="4">
        <v>22</v>
      </c>
      <c r="B231" s="4" t="s">
        <v>564</v>
      </c>
      <c r="C231" s="4" t="s">
        <v>169</v>
      </c>
      <c r="D231" s="5" t="s">
        <v>682</v>
      </c>
      <c r="E231" s="5" t="s">
        <v>61</v>
      </c>
      <c r="F231" s="4" t="s">
        <v>29</v>
      </c>
      <c r="G231" s="4"/>
      <c r="H231" s="5" t="s">
        <v>683</v>
      </c>
      <c r="I231" s="12"/>
      <c r="J231" s="29" t="s">
        <v>46</v>
      </c>
      <c r="K231" s="29">
        <v>1</v>
      </c>
      <c r="L231" s="29"/>
      <c r="M231" s="25" t="s">
        <v>585</v>
      </c>
      <c r="N231" s="30" t="s">
        <v>18</v>
      </c>
    </row>
    <row r="232" spans="1:14" ht="409.5">
      <c r="A232" s="4">
        <v>22</v>
      </c>
      <c r="B232" s="4" t="s">
        <v>564</v>
      </c>
      <c r="C232" s="4" t="s">
        <v>172</v>
      </c>
      <c r="D232" s="5" t="s">
        <v>684</v>
      </c>
      <c r="E232" s="5" t="s">
        <v>61</v>
      </c>
      <c r="F232" s="4" t="s">
        <v>29</v>
      </c>
      <c r="G232" s="4"/>
      <c r="H232" s="5" t="s">
        <v>685</v>
      </c>
      <c r="I232" s="12"/>
      <c r="J232" s="29" t="s">
        <v>46</v>
      </c>
      <c r="K232" s="29">
        <v>1</v>
      </c>
      <c r="L232" s="29"/>
      <c r="M232" s="25" t="s">
        <v>585</v>
      </c>
      <c r="N232" s="30" t="s">
        <v>18</v>
      </c>
    </row>
    <row r="233" spans="1:14" ht="409.5">
      <c r="A233" s="4">
        <v>22</v>
      </c>
      <c r="B233" s="4" t="s">
        <v>564</v>
      </c>
      <c r="C233" s="4" t="s">
        <v>175</v>
      </c>
      <c r="D233" s="5" t="s">
        <v>686</v>
      </c>
      <c r="E233" s="5" t="s">
        <v>61</v>
      </c>
      <c r="F233" s="4" t="s">
        <v>29</v>
      </c>
      <c r="G233" s="4"/>
      <c r="H233" s="5" t="s">
        <v>56</v>
      </c>
      <c r="I233" s="12"/>
      <c r="J233" s="29" t="s">
        <v>46</v>
      </c>
      <c r="K233" s="29">
        <v>1</v>
      </c>
      <c r="L233" s="29"/>
      <c r="M233" s="25" t="s">
        <v>687</v>
      </c>
      <c r="N233" s="30" t="s">
        <v>18</v>
      </c>
    </row>
    <row r="234" spans="1:14" ht="409.5">
      <c r="A234" s="4">
        <v>22</v>
      </c>
      <c r="B234" s="4" t="s">
        <v>564</v>
      </c>
      <c r="C234" s="4" t="s">
        <v>688</v>
      </c>
      <c r="D234" s="5" t="s">
        <v>689</v>
      </c>
      <c r="E234" s="5" t="s">
        <v>61</v>
      </c>
      <c r="F234" s="31" t="s">
        <v>29</v>
      </c>
      <c r="G234" s="31"/>
      <c r="H234" s="5" t="s">
        <v>690</v>
      </c>
      <c r="I234" s="12"/>
      <c r="J234" s="29" t="s">
        <v>46</v>
      </c>
      <c r="K234" s="29">
        <v>1</v>
      </c>
      <c r="L234" s="29"/>
      <c r="M234" s="25" t="s">
        <v>691</v>
      </c>
      <c r="N234" s="30" t="s">
        <v>18</v>
      </c>
    </row>
    <row r="235" spans="1:14" ht="409.5">
      <c r="A235" s="48">
        <v>22</v>
      </c>
      <c r="B235" s="48" t="s">
        <v>564</v>
      </c>
      <c r="C235" s="48" t="s">
        <v>692</v>
      </c>
      <c r="D235" s="49" t="s">
        <v>693</v>
      </c>
      <c r="E235" s="49" t="s">
        <v>61</v>
      </c>
      <c r="F235" s="50" t="s">
        <v>21</v>
      </c>
      <c r="G235" s="50"/>
      <c r="H235" s="49" t="s">
        <v>694</v>
      </c>
      <c r="I235" s="51"/>
      <c r="J235" s="52" t="s">
        <v>33</v>
      </c>
      <c r="K235" s="52">
        <v>2</v>
      </c>
      <c r="L235" s="52"/>
      <c r="M235" s="53" t="s">
        <v>567</v>
      </c>
      <c r="N235" s="54" t="s">
        <v>568</v>
      </c>
    </row>
    <row r="236" spans="1:14" ht="409.5">
      <c r="A236" s="4">
        <v>22</v>
      </c>
      <c r="B236" s="4" t="s">
        <v>564</v>
      </c>
      <c r="C236" s="4" t="s">
        <v>695</v>
      </c>
      <c r="D236" s="5" t="s">
        <v>696</v>
      </c>
      <c r="E236" s="5" t="s">
        <v>61</v>
      </c>
      <c r="F236" s="4" t="s">
        <v>29</v>
      </c>
      <c r="G236" s="4"/>
      <c r="H236" s="5" t="s">
        <v>697</v>
      </c>
      <c r="I236" s="12"/>
      <c r="J236" s="29" t="s">
        <v>33</v>
      </c>
      <c r="K236" s="29">
        <v>2</v>
      </c>
      <c r="L236" s="29"/>
      <c r="M236" s="25" t="s">
        <v>567</v>
      </c>
      <c r="N236" s="30" t="s">
        <v>568</v>
      </c>
    </row>
    <row r="237" spans="1:14" ht="356.45">
      <c r="A237" s="4">
        <v>22</v>
      </c>
      <c r="B237" s="4" t="s">
        <v>564</v>
      </c>
      <c r="C237" s="4" t="s">
        <v>698</v>
      </c>
      <c r="D237" s="5" t="s">
        <v>699</v>
      </c>
      <c r="E237" s="5" t="s">
        <v>61</v>
      </c>
      <c r="F237" s="4" t="s">
        <v>29</v>
      </c>
      <c r="G237" s="4"/>
      <c r="H237" s="5" t="s">
        <v>56</v>
      </c>
      <c r="I237" s="12"/>
      <c r="J237" s="29" t="s">
        <v>46</v>
      </c>
      <c r="K237" s="29">
        <v>1</v>
      </c>
      <c r="L237" s="29"/>
      <c r="M237" s="25" t="s">
        <v>48</v>
      </c>
      <c r="N237" s="30" t="s">
        <v>18</v>
      </c>
    </row>
    <row r="238" spans="1:14" ht="356.45">
      <c r="A238" s="4">
        <v>23</v>
      </c>
      <c r="B238" s="4" t="s">
        <v>564</v>
      </c>
      <c r="C238" s="4" t="s">
        <v>700</v>
      </c>
      <c r="D238" s="5" t="s">
        <v>701</v>
      </c>
      <c r="E238" s="5" t="s">
        <v>61</v>
      </c>
      <c r="F238" s="4" t="s">
        <v>29</v>
      </c>
      <c r="G238" s="4"/>
      <c r="H238" s="5" t="s">
        <v>56</v>
      </c>
      <c r="I238" s="12"/>
      <c r="J238" s="29" t="s">
        <v>46</v>
      </c>
      <c r="K238" s="29">
        <v>1</v>
      </c>
      <c r="L238" s="29"/>
      <c r="M238" s="25" t="s">
        <v>48</v>
      </c>
      <c r="N238" s="30" t="s">
        <v>18</v>
      </c>
    </row>
    <row r="239" spans="1:14" ht="409.5">
      <c r="A239" s="4">
        <v>23</v>
      </c>
      <c r="B239" s="4" t="s">
        <v>564</v>
      </c>
      <c r="C239" s="4" t="s">
        <v>702</v>
      </c>
      <c r="D239" s="5" t="s">
        <v>703</v>
      </c>
      <c r="E239" s="5" t="s">
        <v>61</v>
      </c>
      <c r="F239" s="4" t="s">
        <v>29</v>
      </c>
      <c r="G239" s="4"/>
      <c r="H239" s="5" t="s">
        <v>56</v>
      </c>
      <c r="I239" s="12"/>
      <c r="J239" s="29" t="s">
        <v>46</v>
      </c>
      <c r="K239" s="29">
        <v>1</v>
      </c>
      <c r="L239" s="29"/>
      <c r="M239" s="25" t="s">
        <v>48</v>
      </c>
      <c r="N239" s="30" t="s">
        <v>18</v>
      </c>
    </row>
    <row r="240" spans="1:14" ht="409.5">
      <c r="A240" s="4">
        <v>23</v>
      </c>
      <c r="B240" s="4" t="s">
        <v>564</v>
      </c>
      <c r="C240" s="4" t="s">
        <v>704</v>
      </c>
      <c r="D240" s="5" t="s">
        <v>705</v>
      </c>
      <c r="E240" s="5" t="s">
        <v>61</v>
      </c>
      <c r="F240" s="4" t="s">
        <v>29</v>
      </c>
      <c r="G240" s="4"/>
      <c r="H240" s="5" t="s">
        <v>56</v>
      </c>
      <c r="I240" s="12"/>
      <c r="J240" s="29" t="s">
        <v>46</v>
      </c>
      <c r="K240" s="29">
        <v>1</v>
      </c>
      <c r="L240" s="29"/>
      <c r="M240" s="25" t="s">
        <v>48</v>
      </c>
      <c r="N240" s="30" t="s">
        <v>18</v>
      </c>
    </row>
    <row r="241" spans="1:14" ht="409.5">
      <c r="A241" s="4">
        <v>23</v>
      </c>
      <c r="B241" s="4" t="s">
        <v>564</v>
      </c>
      <c r="C241" s="4" t="s">
        <v>706</v>
      </c>
      <c r="D241" s="5" t="s">
        <v>707</v>
      </c>
      <c r="E241" s="5" t="s">
        <v>39</v>
      </c>
      <c r="F241" s="6" t="s">
        <v>21</v>
      </c>
      <c r="G241" s="6"/>
      <c r="H241" s="5" t="s">
        <v>708</v>
      </c>
      <c r="I241" s="12"/>
      <c r="J241" s="29" t="s">
        <v>33</v>
      </c>
      <c r="K241" s="29">
        <v>2</v>
      </c>
      <c r="L241" s="29"/>
      <c r="M241" s="25" t="s">
        <v>709</v>
      </c>
      <c r="N241" s="30" t="s">
        <v>586</v>
      </c>
    </row>
    <row r="242" spans="1:14" ht="409.5">
      <c r="A242" s="48">
        <v>23</v>
      </c>
      <c r="B242" s="48" t="s">
        <v>564</v>
      </c>
      <c r="C242" s="48" t="s">
        <v>710</v>
      </c>
      <c r="D242" s="49" t="s">
        <v>711</v>
      </c>
      <c r="E242" s="49" t="s">
        <v>425</v>
      </c>
      <c r="F242" s="50" t="s">
        <v>21</v>
      </c>
      <c r="G242" s="50"/>
      <c r="H242" s="49" t="s">
        <v>712</v>
      </c>
      <c r="I242" s="51"/>
      <c r="J242" s="52" t="s">
        <v>33</v>
      </c>
      <c r="K242" s="52">
        <v>2</v>
      </c>
      <c r="L242" s="52"/>
      <c r="M242" s="53" t="s">
        <v>709</v>
      </c>
      <c r="N242" s="54" t="s">
        <v>586</v>
      </c>
    </row>
    <row r="243" spans="1:14" ht="409.5">
      <c r="A243" s="4">
        <v>23</v>
      </c>
      <c r="B243" s="4" t="s">
        <v>564</v>
      </c>
      <c r="C243" s="4" t="s">
        <v>713</v>
      </c>
      <c r="D243" s="5" t="s">
        <v>714</v>
      </c>
      <c r="E243" s="5" t="s">
        <v>425</v>
      </c>
      <c r="F243" s="4" t="s">
        <v>29</v>
      </c>
      <c r="G243" s="4"/>
      <c r="H243" s="5" t="s">
        <v>715</v>
      </c>
      <c r="I243" s="12"/>
      <c r="J243" s="29" t="s">
        <v>46</v>
      </c>
      <c r="K243" s="29">
        <v>1</v>
      </c>
      <c r="L243" s="29"/>
      <c r="M243" s="25" t="s">
        <v>585</v>
      </c>
      <c r="N243" s="30" t="s">
        <v>18</v>
      </c>
    </row>
    <row r="244" spans="1:14" ht="409.5">
      <c r="A244" s="4">
        <v>23</v>
      </c>
      <c r="B244" s="4" t="s">
        <v>564</v>
      </c>
      <c r="C244" s="4" t="s">
        <v>716</v>
      </c>
      <c r="D244" s="5" t="s">
        <v>717</v>
      </c>
      <c r="E244" s="5" t="s">
        <v>425</v>
      </c>
      <c r="F244" s="4" t="s">
        <v>29</v>
      </c>
      <c r="G244" s="4"/>
      <c r="H244" s="5" t="s">
        <v>718</v>
      </c>
      <c r="I244" s="12"/>
      <c r="J244" s="29" t="s">
        <v>46</v>
      </c>
      <c r="K244" s="29">
        <v>1</v>
      </c>
      <c r="L244" s="29"/>
      <c r="M244" s="25" t="s">
        <v>585</v>
      </c>
      <c r="N244" s="30" t="s">
        <v>18</v>
      </c>
    </row>
    <row r="245" spans="1:14" ht="409.5">
      <c r="A245" s="4">
        <v>23</v>
      </c>
      <c r="B245" s="4" t="s">
        <v>564</v>
      </c>
      <c r="C245" s="4" t="s">
        <v>719</v>
      </c>
      <c r="D245" s="5" t="s">
        <v>720</v>
      </c>
      <c r="E245" s="5" t="s">
        <v>425</v>
      </c>
      <c r="F245" s="4" t="s">
        <v>29</v>
      </c>
      <c r="G245" s="4"/>
      <c r="H245" s="5" t="s">
        <v>715</v>
      </c>
      <c r="I245" s="12"/>
      <c r="J245" s="29" t="s">
        <v>46</v>
      </c>
      <c r="K245" s="29">
        <v>1</v>
      </c>
      <c r="L245" s="29"/>
      <c r="M245" s="25" t="s">
        <v>585</v>
      </c>
      <c r="N245" s="30" t="s">
        <v>18</v>
      </c>
    </row>
    <row r="246" spans="1:14" ht="409.5">
      <c r="A246" s="4">
        <v>23</v>
      </c>
      <c r="B246" s="4" t="s">
        <v>564</v>
      </c>
      <c r="C246" s="4" t="s">
        <v>721</v>
      </c>
      <c r="D246" s="5" t="s">
        <v>722</v>
      </c>
      <c r="E246" s="5" t="s">
        <v>425</v>
      </c>
      <c r="F246" s="4" t="s">
        <v>29</v>
      </c>
      <c r="G246" s="4"/>
      <c r="H246" s="5" t="s">
        <v>715</v>
      </c>
      <c r="I246" s="12"/>
      <c r="J246" s="29" t="s">
        <v>46</v>
      </c>
      <c r="K246" s="29">
        <v>1</v>
      </c>
      <c r="L246" s="29"/>
      <c r="M246" s="25" t="s">
        <v>585</v>
      </c>
      <c r="N246" s="30" t="s">
        <v>18</v>
      </c>
    </row>
    <row r="247" spans="1:14" ht="409.5">
      <c r="A247" s="4">
        <v>23</v>
      </c>
      <c r="B247" s="4" t="s">
        <v>564</v>
      </c>
      <c r="C247" s="4" t="s">
        <v>723</v>
      </c>
      <c r="D247" s="5" t="s">
        <v>724</v>
      </c>
      <c r="E247" s="5" t="s">
        <v>425</v>
      </c>
      <c r="F247" s="4" t="s">
        <v>29</v>
      </c>
      <c r="G247" s="4"/>
      <c r="H247" s="5" t="s">
        <v>715</v>
      </c>
      <c r="I247" s="12"/>
      <c r="J247" s="29" t="s">
        <v>46</v>
      </c>
      <c r="K247" s="29">
        <v>1</v>
      </c>
      <c r="L247" s="29"/>
      <c r="M247" s="25" t="s">
        <v>585</v>
      </c>
      <c r="N247" s="30" t="s">
        <v>18</v>
      </c>
    </row>
    <row r="248" spans="1:14" ht="409.5">
      <c r="A248" s="4">
        <v>23</v>
      </c>
      <c r="B248" s="4" t="s">
        <v>564</v>
      </c>
      <c r="C248" s="4" t="s">
        <v>725</v>
      </c>
      <c r="D248" s="5" t="s">
        <v>726</v>
      </c>
      <c r="E248" s="5" t="s">
        <v>425</v>
      </c>
      <c r="F248" s="4" t="s">
        <v>29</v>
      </c>
      <c r="G248" s="4"/>
      <c r="H248" s="5" t="s">
        <v>715</v>
      </c>
      <c r="I248" s="12"/>
      <c r="J248" s="29" t="s">
        <v>46</v>
      </c>
      <c r="K248" s="29">
        <v>1</v>
      </c>
      <c r="L248" s="29"/>
      <c r="M248" s="25" t="s">
        <v>585</v>
      </c>
      <c r="N248" s="30" t="s">
        <v>18</v>
      </c>
    </row>
    <row r="249" spans="1:14" ht="409.5">
      <c r="A249" s="4">
        <v>23</v>
      </c>
      <c r="B249" s="4" t="s">
        <v>564</v>
      </c>
      <c r="C249" s="4" t="s">
        <v>727</v>
      </c>
      <c r="D249" s="5" t="s">
        <v>728</v>
      </c>
      <c r="E249" s="5" t="s">
        <v>425</v>
      </c>
      <c r="F249" s="4" t="s">
        <v>29</v>
      </c>
      <c r="G249" s="4"/>
      <c r="H249" s="5" t="s">
        <v>715</v>
      </c>
      <c r="I249" s="12"/>
      <c r="J249" s="29" t="s">
        <v>46</v>
      </c>
      <c r="K249" s="29">
        <v>1</v>
      </c>
      <c r="L249" s="29"/>
      <c r="M249" s="25" t="s">
        <v>585</v>
      </c>
      <c r="N249" s="30" t="s">
        <v>18</v>
      </c>
    </row>
    <row r="250" spans="1:14" ht="409.5">
      <c r="A250" s="4">
        <v>23</v>
      </c>
      <c r="B250" s="4" t="s">
        <v>564</v>
      </c>
      <c r="C250" s="4" t="s">
        <v>729</v>
      </c>
      <c r="D250" s="5" t="s">
        <v>730</v>
      </c>
      <c r="E250" s="5" t="s">
        <v>425</v>
      </c>
      <c r="F250" s="4" t="s">
        <v>29</v>
      </c>
      <c r="G250" s="4"/>
      <c r="H250" s="5" t="s">
        <v>715</v>
      </c>
      <c r="I250" s="12"/>
      <c r="J250" s="29" t="s">
        <v>46</v>
      </c>
      <c r="K250" s="29">
        <v>1</v>
      </c>
      <c r="L250" s="29"/>
      <c r="M250" s="25" t="s">
        <v>585</v>
      </c>
      <c r="N250" s="30" t="s">
        <v>18</v>
      </c>
    </row>
    <row r="251" spans="1:14" ht="409.5">
      <c r="A251" s="4">
        <v>23</v>
      </c>
      <c r="B251" s="4" t="s">
        <v>564</v>
      </c>
      <c r="C251" s="4" t="s">
        <v>731</v>
      </c>
      <c r="D251" s="5" t="s">
        <v>732</v>
      </c>
      <c r="E251" s="5" t="s">
        <v>425</v>
      </c>
      <c r="F251" s="4" t="s">
        <v>29</v>
      </c>
      <c r="G251" s="4"/>
      <c r="H251" s="5" t="s">
        <v>715</v>
      </c>
      <c r="I251" s="12"/>
      <c r="J251" s="29" t="s">
        <v>46</v>
      </c>
      <c r="K251" s="29">
        <v>1</v>
      </c>
      <c r="L251" s="29"/>
      <c r="M251" s="25" t="s">
        <v>585</v>
      </c>
      <c r="N251" s="30" t="s">
        <v>18</v>
      </c>
    </row>
    <row r="252" spans="1:14" ht="409.5">
      <c r="A252" s="4">
        <v>23</v>
      </c>
      <c r="B252" s="4" t="s">
        <v>564</v>
      </c>
      <c r="C252" s="4" t="s">
        <v>733</v>
      </c>
      <c r="D252" s="5" t="s">
        <v>734</v>
      </c>
      <c r="E252" s="5" t="s">
        <v>425</v>
      </c>
      <c r="F252" s="4" t="s">
        <v>29</v>
      </c>
      <c r="G252" s="4"/>
      <c r="H252" s="5" t="s">
        <v>715</v>
      </c>
      <c r="I252" s="12"/>
      <c r="J252" s="29" t="s">
        <v>46</v>
      </c>
      <c r="K252" s="29">
        <v>1</v>
      </c>
      <c r="L252" s="29"/>
      <c r="M252" s="25" t="s">
        <v>585</v>
      </c>
      <c r="N252" s="30" t="s">
        <v>18</v>
      </c>
    </row>
    <row r="253" spans="1:14" ht="409.5">
      <c r="A253" s="4">
        <v>23</v>
      </c>
      <c r="B253" s="4" t="s">
        <v>564</v>
      </c>
      <c r="C253" s="4" t="s">
        <v>735</v>
      </c>
      <c r="D253" s="5" t="s">
        <v>736</v>
      </c>
      <c r="E253" s="5" t="s">
        <v>425</v>
      </c>
      <c r="F253" s="4" t="s">
        <v>29</v>
      </c>
      <c r="G253" s="4"/>
      <c r="H253" s="5" t="s">
        <v>715</v>
      </c>
      <c r="I253" s="12"/>
      <c r="J253" s="29" t="s">
        <v>46</v>
      </c>
      <c r="K253" s="29">
        <v>1</v>
      </c>
      <c r="L253" s="29"/>
      <c r="M253" s="25" t="s">
        <v>585</v>
      </c>
      <c r="N253" s="30" t="s">
        <v>18</v>
      </c>
    </row>
    <row r="254" spans="1:14" ht="409.5">
      <c r="A254" s="4">
        <v>23</v>
      </c>
      <c r="B254" s="4" t="s">
        <v>564</v>
      </c>
      <c r="C254" s="4" t="s">
        <v>737</v>
      </c>
      <c r="D254" s="5" t="s">
        <v>738</v>
      </c>
      <c r="E254" s="5" t="s">
        <v>425</v>
      </c>
      <c r="F254" s="4" t="s">
        <v>29</v>
      </c>
      <c r="G254" s="4"/>
      <c r="H254" s="5" t="s">
        <v>715</v>
      </c>
      <c r="I254" s="12"/>
      <c r="J254" s="29" t="s">
        <v>46</v>
      </c>
      <c r="K254" s="29">
        <v>1</v>
      </c>
      <c r="L254" s="29"/>
      <c r="M254" s="25" t="s">
        <v>585</v>
      </c>
      <c r="N254" s="30" t="s">
        <v>18</v>
      </c>
    </row>
    <row r="255" spans="1:14" ht="409.5">
      <c r="A255" s="4">
        <v>23</v>
      </c>
      <c r="B255" s="4" t="s">
        <v>564</v>
      </c>
      <c r="C255" s="4" t="s">
        <v>739</v>
      </c>
      <c r="D255" s="5" t="s">
        <v>740</v>
      </c>
      <c r="E255" s="5" t="s">
        <v>425</v>
      </c>
      <c r="F255" s="4" t="s">
        <v>29</v>
      </c>
      <c r="G255" s="4"/>
      <c r="H255" s="5" t="s">
        <v>715</v>
      </c>
      <c r="I255" s="12"/>
      <c r="J255" s="29" t="s">
        <v>46</v>
      </c>
      <c r="K255" s="29">
        <v>1</v>
      </c>
      <c r="L255" s="29"/>
      <c r="M255" s="25" t="s">
        <v>585</v>
      </c>
      <c r="N255" s="30" t="s">
        <v>18</v>
      </c>
    </row>
    <row r="256" spans="1:14" ht="409.5">
      <c r="A256" s="4">
        <v>23</v>
      </c>
      <c r="B256" s="4" t="s">
        <v>564</v>
      </c>
      <c r="C256" s="4" t="s">
        <v>741</v>
      </c>
      <c r="D256" s="5" t="s">
        <v>742</v>
      </c>
      <c r="E256" s="5" t="s">
        <v>425</v>
      </c>
      <c r="F256" s="4" t="s">
        <v>29</v>
      </c>
      <c r="G256" s="4"/>
      <c r="H256" s="5" t="s">
        <v>715</v>
      </c>
      <c r="I256" s="12"/>
      <c r="J256" s="29" t="s">
        <v>46</v>
      </c>
      <c r="K256" s="29">
        <v>1</v>
      </c>
      <c r="L256" s="29"/>
      <c r="M256" s="25" t="s">
        <v>585</v>
      </c>
      <c r="N256" s="30" t="s">
        <v>18</v>
      </c>
    </row>
    <row r="257" spans="1:14" ht="409.5">
      <c r="A257" s="4">
        <v>24</v>
      </c>
      <c r="B257" s="4" t="s">
        <v>564</v>
      </c>
      <c r="C257" s="4" t="s">
        <v>743</v>
      </c>
      <c r="D257" s="5" t="s">
        <v>744</v>
      </c>
      <c r="E257" s="5" t="s">
        <v>425</v>
      </c>
      <c r="F257" s="4" t="s">
        <v>29</v>
      </c>
      <c r="G257" s="4"/>
      <c r="H257" s="5" t="s">
        <v>715</v>
      </c>
      <c r="I257" s="12"/>
      <c r="J257" s="29" t="s">
        <v>46</v>
      </c>
      <c r="K257" s="29">
        <v>1</v>
      </c>
      <c r="L257" s="29"/>
      <c r="M257" s="25" t="s">
        <v>585</v>
      </c>
      <c r="N257" s="30" t="s">
        <v>18</v>
      </c>
    </row>
    <row r="258" spans="1:14" ht="409.5">
      <c r="A258" s="4">
        <v>24</v>
      </c>
      <c r="B258" s="4" t="s">
        <v>564</v>
      </c>
      <c r="C258" s="4" t="s">
        <v>745</v>
      </c>
      <c r="D258" s="5" t="s">
        <v>746</v>
      </c>
      <c r="E258" s="5" t="s">
        <v>425</v>
      </c>
      <c r="F258" s="4" t="s">
        <v>29</v>
      </c>
      <c r="G258" s="4"/>
      <c r="H258" s="5" t="s">
        <v>715</v>
      </c>
      <c r="I258" s="12"/>
      <c r="J258" s="29" t="s">
        <v>46</v>
      </c>
      <c r="K258" s="29">
        <v>1</v>
      </c>
      <c r="L258" s="29"/>
      <c r="M258" s="25" t="s">
        <v>585</v>
      </c>
      <c r="N258" s="30" t="s">
        <v>18</v>
      </c>
    </row>
    <row r="259" spans="1:14" ht="409.5">
      <c r="A259" s="4">
        <v>24</v>
      </c>
      <c r="B259" s="4" t="s">
        <v>564</v>
      </c>
      <c r="C259" s="4" t="s">
        <v>747</v>
      </c>
      <c r="D259" s="5" t="s">
        <v>748</v>
      </c>
      <c r="E259" s="5" t="s">
        <v>425</v>
      </c>
      <c r="F259" s="4" t="s">
        <v>29</v>
      </c>
      <c r="G259" s="4"/>
      <c r="H259" s="5" t="s">
        <v>749</v>
      </c>
      <c r="I259" s="12"/>
      <c r="J259" s="29" t="s">
        <v>46</v>
      </c>
      <c r="K259" s="29">
        <v>1</v>
      </c>
      <c r="L259" s="29"/>
      <c r="M259" s="25" t="s">
        <v>585</v>
      </c>
      <c r="N259" s="30" t="s">
        <v>18</v>
      </c>
    </row>
    <row r="260" spans="1:14" ht="409.5">
      <c r="A260" s="4">
        <v>24</v>
      </c>
      <c r="B260" s="4" t="s">
        <v>564</v>
      </c>
      <c r="C260" s="4" t="s">
        <v>750</v>
      </c>
      <c r="D260" s="5" t="s">
        <v>751</v>
      </c>
      <c r="E260" s="5" t="s">
        <v>425</v>
      </c>
      <c r="F260" s="4" t="s">
        <v>29</v>
      </c>
      <c r="G260" s="4"/>
      <c r="H260" s="5" t="s">
        <v>752</v>
      </c>
      <c r="I260" s="12"/>
      <c r="J260" s="29" t="s">
        <v>46</v>
      </c>
      <c r="K260" s="29">
        <v>1</v>
      </c>
      <c r="L260" s="29"/>
      <c r="M260" s="25" t="s">
        <v>585</v>
      </c>
      <c r="N260" s="30" t="s">
        <v>18</v>
      </c>
    </row>
    <row r="261" spans="1:14" ht="409.5">
      <c r="A261" s="4">
        <v>24</v>
      </c>
      <c r="B261" s="4" t="s">
        <v>564</v>
      </c>
      <c r="C261" s="4" t="s">
        <v>753</v>
      </c>
      <c r="D261" s="5" t="s">
        <v>754</v>
      </c>
      <c r="E261" s="5" t="s">
        <v>39</v>
      </c>
      <c r="F261" s="6" t="s">
        <v>21</v>
      </c>
      <c r="G261" s="6"/>
      <c r="H261" s="5" t="s">
        <v>708</v>
      </c>
      <c r="I261" s="12"/>
      <c r="J261" s="29" t="s">
        <v>33</v>
      </c>
      <c r="K261" s="29">
        <v>2</v>
      </c>
      <c r="L261" s="29"/>
      <c r="M261" s="25" t="s">
        <v>709</v>
      </c>
      <c r="N261" s="30" t="s">
        <v>586</v>
      </c>
    </row>
    <row r="262" spans="1:14" ht="409.5">
      <c r="A262" s="48">
        <v>24</v>
      </c>
      <c r="B262" s="48" t="s">
        <v>564</v>
      </c>
      <c r="C262" s="48" t="s">
        <v>565</v>
      </c>
      <c r="D262" s="49" t="s">
        <v>755</v>
      </c>
      <c r="E262" s="49" t="s">
        <v>425</v>
      </c>
      <c r="F262" s="50" t="s">
        <v>29</v>
      </c>
      <c r="G262" s="50"/>
      <c r="H262" s="49" t="s">
        <v>756</v>
      </c>
      <c r="I262" s="51"/>
      <c r="J262" s="52" t="s">
        <v>46</v>
      </c>
      <c r="K262" s="52">
        <v>1</v>
      </c>
      <c r="L262" s="52"/>
      <c r="M262" s="53" t="s">
        <v>585</v>
      </c>
      <c r="N262" s="54" t="s">
        <v>18</v>
      </c>
    </row>
    <row r="263" spans="1:14" ht="409.5">
      <c r="A263" s="4">
        <v>24</v>
      </c>
      <c r="B263" s="4" t="s">
        <v>564</v>
      </c>
      <c r="C263" s="4" t="s">
        <v>757</v>
      </c>
      <c r="D263" s="5" t="s">
        <v>758</v>
      </c>
      <c r="E263" s="5" t="s">
        <v>425</v>
      </c>
      <c r="F263" s="6" t="s">
        <v>29</v>
      </c>
      <c r="G263" s="6"/>
      <c r="H263" s="5" t="s">
        <v>759</v>
      </c>
      <c r="I263" s="12"/>
      <c r="J263" s="29" t="s">
        <v>46</v>
      </c>
      <c r="K263" s="29">
        <v>1</v>
      </c>
      <c r="L263" s="29"/>
      <c r="M263" s="25" t="s">
        <v>585</v>
      </c>
      <c r="N263" s="30" t="s">
        <v>18</v>
      </c>
    </row>
    <row r="264" spans="1:14" ht="409.5">
      <c r="A264" s="4">
        <v>24</v>
      </c>
      <c r="B264" s="4" t="s">
        <v>564</v>
      </c>
      <c r="C264" s="4" t="s">
        <v>757</v>
      </c>
      <c r="D264" s="5" t="s">
        <v>760</v>
      </c>
      <c r="E264" s="5" t="s">
        <v>425</v>
      </c>
      <c r="F264" s="6" t="s">
        <v>29</v>
      </c>
      <c r="G264" s="6"/>
      <c r="H264" s="5" t="s">
        <v>759</v>
      </c>
      <c r="I264" s="12"/>
      <c r="J264" s="29" t="s">
        <v>46</v>
      </c>
      <c r="K264" s="29">
        <v>1</v>
      </c>
      <c r="L264" s="29"/>
      <c r="M264" s="25" t="s">
        <v>585</v>
      </c>
      <c r="N264" s="30" t="s">
        <v>18</v>
      </c>
    </row>
    <row r="265" spans="1:14" ht="409.5">
      <c r="A265" s="4">
        <v>24</v>
      </c>
      <c r="B265" s="4" t="s">
        <v>564</v>
      </c>
      <c r="C265" s="4" t="s">
        <v>761</v>
      </c>
      <c r="D265" s="5" t="s">
        <v>762</v>
      </c>
      <c r="E265" s="5" t="s">
        <v>425</v>
      </c>
      <c r="F265" s="6" t="s">
        <v>29</v>
      </c>
      <c r="G265" s="6"/>
      <c r="H265" s="5" t="s">
        <v>759</v>
      </c>
      <c r="I265" s="12"/>
      <c r="J265" s="29" t="s">
        <v>46</v>
      </c>
      <c r="K265" s="29">
        <v>1</v>
      </c>
      <c r="L265" s="29"/>
      <c r="M265" s="25" t="s">
        <v>585</v>
      </c>
      <c r="N265" s="30" t="s">
        <v>18</v>
      </c>
    </row>
    <row r="266" spans="1:14" ht="341.1">
      <c r="A266" s="48">
        <v>24</v>
      </c>
      <c r="B266" s="48" t="s">
        <v>564</v>
      </c>
      <c r="C266" s="48" t="s">
        <v>569</v>
      </c>
      <c r="D266" s="49" t="s">
        <v>763</v>
      </c>
      <c r="E266" s="49" t="s">
        <v>39</v>
      </c>
      <c r="F266" s="50" t="s">
        <v>29</v>
      </c>
      <c r="G266" s="50"/>
      <c r="H266" s="49" t="s">
        <v>764</v>
      </c>
      <c r="I266" s="51"/>
      <c r="J266" s="52" t="s">
        <v>33</v>
      </c>
      <c r="K266" s="52">
        <v>1</v>
      </c>
      <c r="L266" s="52"/>
      <c r="M266" s="53" t="s">
        <v>101</v>
      </c>
      <c r="N266" s="54" t="s">
        <v>586</v>
      </c>
    </row>
    <row r="267" spans="1:14" ht="409.5">
      <c r="A267" s="4">
        <v>24</v>
      </c>
      <c r="B267" s="4" t="s">
        <v>564</v>
      </c>
      <c r="C267" s="4" t="s">
        <v>765</v>
      </c>
      <c r="D267" s="5" t="s">
        <v>766</v>
      </c>
      <c r="E267" s="5" t="s">
        <v>39</v>
      </c>
      <c r="F267" s="6" t="s">
        <v>29</v>
      </c>
      <c r="G267" s="6"/>
      <c r="H267" s="5" t="s">
        <v>56</v>
      </c>
      <c r="I267" s="12"/>
      <c r="J267" s="29" t="s">
        <v>33</v>
      </c>
      <c r="K267" s="29">
        <v>1</v>
      </c>
      <c r="L267" s="29"/>
      <c r="M267" s="25" t="s">
        <v>101</v>
      </c>
      <c r="N267" s="30" t="s">
        <v>586</v>
      </c>
    </row>
    <row r="268" spans="1:14" ht="409.5">
      <c r="A268" s="4">
        <v>24</v>
      </c>
      <c r="B268" s="4" t="s">
        <v>564</v>
      </c>
      <c r="C268" s="4" t="s">
        <v>767</v>
      </c>
      <c r="D268" s="5" t="s">
        <v>768</v>
      </c>
      <c r="E268" s="5" t="s">
        <v>39</v>
      </c>
      <c r="F268" s="6" t="s">
        <v>29</v>
      </c>
      <c r="G268" s="6"/>
      <c r="H268" s="5" t="s">
        <v>769</v>
      </c>
      <c r="I268" s="12"/>
      <c r="J268" s="29" t="s">
        <v>33</v>
      </c>
      <c r="K268" s="29">
        <v>1</v>
      </c>
      <c r="L268" s="29"/>
      <c r="M268" s="25" t="s">
        <v>101</v>
      </c>
      <c r="N268" s="30" t="s">
        <v>586</v>
      </c>
    </row>
    <row r="269" spans="1:14" ht="409.5">
      <c r="A269" s="4">
        <v>24</v>
      </c>
      <c r="B269" s="4" t="s">
        <v>564</v>
      </c>
      <c r="C269" s="4" t="s">
        <v>770</v>
      </c>
      <c r="D269" s="5" t="s">
        <v>771</v>
      </c>
      <c r="E269" s="5" t="s">
        <v>39</v>
      </c>
      <c r="F269" s="6" t="s">
        <v>29</v>
      </c>
      <c r="G269" s="6"/>
      <c r="H269" s="5" t="s">
        <v>769</v>
      </c>
      <c r="I269" s="12"/>
      <c r="J269" s="29" t="s">
        <v>33</v>
      </c>
      <c r="K269" s="29">
        <v>1</v>
      </c>
      <c r="L269" s="29"/>
      <c r="M269" s="25" t="s">
        <v>101</v>
      </c>
      <c r="N269" s="30" t="s">
        <v>586</v>
      </c>
    </row>
    <row r="270" spans="1:14" ht="409.5">
      <c r="A270" s="4">
        <v>24</v>
      </c>
      <c r="B270" s="4" t="s">
        <v>564</v>
      </c>
      <c r="C270" s="4" t="s">
        <v>772</v>
      </c>
      <c r="D270" s="5" t="s">
        <v>773</v>
      </c>
      <c r="E270" s="5" t="s">
        <v>39</v>
      </c>
      <c r="F270" s="6" t="s">
        <v>29</v>
      </c>
      <c r="G270" s="6"/>
      <c r="H270" s="5" t="s">
        <v>769</v>
      </c>
      <c r="I270" s="12"/>
      <c r="J270" s="29" t="s">
        <v>33</v>
      </c>
      <c r="K270" s="29">
        <v>1</v>
      </c>
      <c r="L270" s="29"/>
      <c r="M270" s="25" t="s">
        <v>101</v>
      </c>
      <c r="N270" s="30" t="s">
        <v>586</v>
      </c>
    </row>
    <row r="271" spans="1:14" ht="341.1">
      <c r="A271" s="4">
        <v>24</v>
      </c>
      <c r="B271" s="4" t="s">
        <v>564</v>
      </c>
      <c r="C271" s="4" t="s">
        <v>774</v>
      </c>
      <c r="D271" s="5" t="s">
        <v>775</v>
      </c>
      <c r="E271" s="5" t="s">
        <v>39</v>
      </c>
      <c r="F271" s="6" t="s">
        <v>29</v>
      </c>
      <c r="G271" s="6"/>
      <c r="H271" s="5" t="s">
        <v>769</v>
      </c>
      <c r="I271" s="12"/>
      <c r="J271" s="29" t="s">
        <v>33</v>
      </c>
      <c r="K271" s="29">
        <v>1</v>
      </c>
      <c r="L271" s="29"/>
      <c r="M271" s="25" t="s">
        <v>101</v>
      </c>
      <c r="N271" s="30" t="s">
        <v>586</v>
      </c>
    </row>
    <row r="272" spans="1:14" ht="409.5">
      <c r="A272" s="4">
        <v>25</v>
      </c>
      <c r="B272" s="4" t="s">
        <v>564</v>
      </c>
      <c r="C272" s="4" t="s">
        <v>776</v>
      </c>
      <c r="D272" s="5" t="s">
        <v>777</v>
      </c>
      <c r="E272" s="5" t="s">
        <v>39</v>
      </c>
      <c r="F272" s="6" t="s">
        <v>29</v>
      </c>
      <c r="G272" s="6"/>
      <c r="H272" s="5" t="s">
        <v>769</v>
      </c>
      <c r="I272" s="12"/>
      <c r="J272" s="29" t="s">
        <v>33</v>
      </c>
      <c r="K272" s="29">
        <v>1</v>
      </c>
      <c r="L272" s="29"/>
      <c r="M272" s="25" t="s">
        <v>101</v>
      </c>
      <c r="N272" s="30" t="s">
        <v>586</v>
      </c>
    </row>
    <row r="273" spans="1:14" ht="402.95">
      <c r="A273" s="4">
        <v>25</v>
      </c>
      <c r="B273" s="4" t="s">
        <v>564</v>
      </c>
      <c r="C273" s="4" t="s">
        <v>778</v>
      </c>
      <c r="D273" s="5" t="s">
        <v>779</v>
      </c>
      <c r="E273" s="5" t="s">
        <v>39</v>
      </c>
      <c r="F273" s="6" t="s">
        <v>29</v>
      </c>
      <c r="G273" s="6"/>
      <c r="H273" s="5" t="s">
        <v>769</v>
      </c>
      <c r="I273" s="12"/>
      <c r="J273" s="29" t="s">
        <v>33</v>
      </c>
      <c r="K273" s="29">
        <v>1</v>
      </c>
      <c r="L273" s="29"/>
      <c r="M273" s="25" t="s">
        <v>101</v>
      </c>
      <c r="N273" s="30" t="s">
        <v>586</v>
      </c>
    </row>
    <row r="274" spans="1:14" ht="341.1">
      <c r="A274" s="4">
        <v>25</v>
      </c>
      <c r="B274" s="4" t="s">
        <v>564</v>
      </c>
      <c r="C274" s="4" t="s">
        <v>780</v>
      </c>
      <c r="D274" s="5" t="s">
        <v>781</v>
      </c>
      <c r="E274" s="5" t="s">
        <v>39</v>
      </c>
      <c r="F274" s="6" t="s">
        <v>29</v>
      </c>
      <c r="G274" s="6"/>
      <c r="H274" s="5" t="s">
        <v>769</v>
      </c>
      <c r="I274" s="12"/>
      <c r="J274" s="29" t="s">
        <v>33</v>
      </c>
      <c r="K274" s="29">
        <v>1</v>
      </c>
      <c r="L274" s="29"/>
      <c r="M274" s="25" t="s">
        <v>101</v>
      </c>
      <c r="N274" s="30" t="s">
        <v>586</v>
      </c>
    </row>
    <row r="275" spans="1:14" ht="387.6">
      <c r="A275" s="4">
        <v>25</v>
      </c>
      <c r="B275" s="4" t="s">
        <v>564</v>
      </c>
      <c r="C275" s="4" t="s">
        <v>782</v>
      </c>
      <c r="D275" s="5" t="s">
        <v>783</v>
      </c>
      <c r="E275" s="35" t="s">
        <v>61</v>
      </c>
      <c r="F275" s="6" t="s">
        <v>29</v>
      </c>
      <c r="G275" s="6"/>
      <c r="H275" s="5" t="s">
        <v>56</v>
      </c>
      <c r="I275" s="12"/>
      <c r="J275" s="29" t="s">
        <v>33</v>
      </c>
      <c r="K275" s="29">
        <v>1</v>
      </c>
      <c r="L275" s="29"/>
      <c r="M275" s="25" t="s">
        <v>101</v>
      </c>
      <c r="N275" s="30" t="s">
        <v>586</v>
      </c>
    </row>
    <row r="276" spans="1:14" ht="356.45">
      <c r="A276" s="4">
        <v>25</v>
      </c>
      <c r="B276" s="4" t="s">
        <v>564</v>
      </c>
      <c r="C276" s="4" t="s">
        <v>575</v>
      </c>
      <c r="D276" s="5" t="s">
        <v>784</v>
      </c>
      <c r="E276" s="5" t="s">
        <v>61</v>
      </c>
      <c r="F276" s="6" t="s">
        <v>557</v>
      </c>
      <c r="G276" s="6"/>
      <c r="H276" s="5" t="s">
        <v>785</v>
      </c>
      <c r="I276" s="12"/>
      <c r="J276" s="29" t="s">
        <v>46</v>
      </c>
      <c r="K276" s="29">
        <v>1</v>
      </c>
      <c r="L276" s="29"/>
      <c r="M276" s="25" t="s">
        <v>48</v>
      </c>
      <c r="N276" s="30" t="s">
        <v>18</v>
      </c>
    </row>
    <row r="277" spans="1:14" ht="409.5">
      <c r="A277" s="4">
        <v>25</v>
      </c>
      <c r="B277" s="4" t="s">
        <v>564</v>
      </c>
      <c r="C277" s="4" t="s">
        <v>82</v>
      </c>
      <c r="D277" s="5" t="s">
        <v>786</v>
      </c>
      <c r="E277" s="5" t="s">
        <v>61</v>
      </c>
      <c r="F277" s="34" t="s">
        <v>29</v>
      </c>
      <c r="G277" s="34"/>
      <c r="H277" s="5" t="s">
        <v>787</v>
      </c>
      <c r="I277" s="12"/>
      <c r="J277" s="29" t="s">
        <v>46</v>
      </c>
      <c r="K277" s="29">
        <v>1</v>
      </c>
      <c r="L277" s="29"/>
      <c r="M277" s="25" t="s">
        <v>691</v>
      </c>
      <c r="N277" s="30" t="s">
        <v>36</v>
      </c>
    </row>
    <row r="278" spans="1:14" ht="409.5">
      <c r="A278" s="4">
        <v>25</v>
      </c>
      <c r="B278" s="4" t="s">
        <v>564</v>
      </c>
      <c r="C278" s="4" t="s">
        <v>788</v>
      </c>
      <c r="D278" s="5" t="s">
        <v>789</v>
      </c>
      <c r="E278" s="5" t="s">
        <v>61</v>
      </c>
      <c r="F278" s="6" t="s">
        <v>29</v>
      </c>
      <c r="G278" s="6"/>
      <c r="H278" s="5" t="s">
        <v>56</v>
      </c>
      <c r="I278" s="12"/>
      <c r="J278" s="29" t="s">
        <v>46</v>
      </c>
      <c r="K278" s="29">
        <v>1</v>
      </c>
      <c r="L278" s="29"/>
      <c r="M278" s="25" t="s">
        <v>48</v>
      </c>
      <c r="N278" s="30" t="s">
        <v>18</v>
      </c>
    </row>
    <row r="279" spans="1:14" ht="409.5">
      <c r="A279" s="4">
        <v>25</v>
      </c>
      <c r="B279" s="4" t="s">
        <v>564</v>
      </c>
      <c r="C279" s="4" t="s">
        <v>87</v>
      </c>
      <c r="D279" s="5" t="s">
        <v>790</v>
      </c>
      <c r="E279" s="5" t="s">
        <v>61</v>
      </c>
      <c r="F279" s="6" t="s">
        <v>29</v>
      </c>
      <c r="G279" s="6"/>
      <c r="H279" s="5" t="s">
        <v>56</v>
      </c>
      <c r="I279" s="12"/>
      <c r="J279" s="29" t="s">
        <v>46</v>
      </c>
      <c r="K279" s="29">
        <v>1</v>
      </c>
      <c r="L279" s="29"/>
      <c r="M279" s="25" t="s">
        <v>48</v>
      </c>
      <c r="N279" s="30" t="s">
        <v>18</v>
      </c>
    </row>
    <row r="280" spans="1:14" ht="409.5">
      <c r="A280" s="4">
        <v>25</v>
      </c>
      <c r="B280" s="4" t="s">
        <v>564</v>
      </c>
      <c r="C280" s="4" t="s">
        <v>98</v>
      </c>
      <c r="D280" s="5" t="s">
        <v>791</v>
      </c>
      <c r="E280" s="5" t="s">
        <v>61</v>
      </c>
      <c r="F280" s="6" t="s">
        <v>29</v>
      </c>
      <c r="G280" s="6"/>
      <c r="H280" s="5" t="s">
        <v>56</v>
      </c>
      <c r="I280" s="12"/>
      <c r="J280" s="29" t="s">
        <v>46</v>
      </c>
      <c r="K280" s="29">
        <v>1</v>
      </c>
      <c r="L280" s="29"/>
      <c r="M280" s="25" t="s">
        <v>48</v>
      </c>
      <c r="N280" s="30" t="s">
        <v>586</v>
      </c>
    </row>
    <row r="281" spans="1:14" ht="325.5">
      <c r="A281" s="48">
        <v>25</v>
      </c>
      <c r="B281" s="48" t="s">
        <v>564</v>
      </c>
      <c r="C281" s="48" t="s">
        <v>577</v>
      </c>
      <c r="D281" s="49" t="s">
        <v>792</v>
      </c>
      <c r="E281" s="49" t="s">
        <v>425</v>
      </c>
      <c r="F281" s="56" t="s">
        <v>29</v>
      </c>
      <c r="G281" s="56"/>
      <c r="H281" s="49" t="s">
        <v>793</v>
      </c>
      <c r="I281" s="51"/>
      <c r="J281" s="52" t="s">
        <v>33</v>
      </c>
      <c r="K281" s="52">
        <v>1</v>
      </c>
      <c r="L281" s="52"/>
      <c r="M281" s="53" t="s">
        <v>794</v>
      </c>
      <c r="N281" s="54" t="s">
        <v>18</v>
      </c>
    </row>
    <row r="282" spans="1:14" ht="409.5">
      <c r="A282" s="4">
        <v>25</v>
      </c>
      <c r="B282" s="4" t="s">
        <v>564</v>
      </c>
      <c r="C282" s="4" t="s">
        <v>114</v>
      </c>
      <c r="D282" s="5" t="s">
        <v>795</v>
      </c>
      <c r="E282" s="5" t="s">
        <v>61</v>
      </c>
      <c r="F282" s="6" t="s">
        <v>29</v>
      </c>
      <c r="G282" s="6"/>
      <c r="H282" s="5" t="s">
        <v>796</v>
      </c>
      <c r="I282" s="12"/>
      <c r="J282" s="29" t="s">
        <v>46</v>
      </c>
      <c r="K282" s="29">
        <v>1</v>
      </c>
      <c r="L282" s="29"/>
      <c r="M282" s="25" t="s">
        <v>797</v>
      </c>
      <c r="N282" s="30" t="s">
        <v>18</v>
      </c>
    </row>
    <row r="283" spans="1:14" ht="409.5">
      <c r="A283" s="4">
        <v>25</v>
      </c>
      <c r="B283" s="4" t="s">
        <v>564</v>
      </c>
      <c r="C283" s="4" t="s">
        <v>798</v>
      </c>
      <c r="D283" s="5" t="s">
        <v>799</v>
      </c>
      <c r="E283" s="5" t="s">
        <v>39</v>
      </c>
      <c r="F283" s="6" t="s">
        <v>29</v>
      </c>
      <c r="G283" s="6"/>
      <c r="H283" s="5" t="s">
        <v>800</v>
      </c>
      <c r="I283" s="12"/>
      <c r="J283" s="29" t="s">
        <v>33</v>
      </c>
      <c r="K283" s="29">
        <v>1</v>
      </c>
      <c r="L283" s="29"/>
      <c r="M283" s="25" t="s">
        <v>101</v>
      </c>
      <c r="N283" s="30" t="s">
        <v>36</v>
      </c>
    </row>
    <row r="284" spans="1:14" ht="409.5">
      <c r="A284" s="4">
        <v>25</v>
      </c>
      <c r="B284" s="4" t="s">
        <v>564</v>
      </c>
      <c r="C284" s="4" t="s">
        <v>146</v>
      </c>
      <c r="D284" s="5" t="s">
        <v>801</v>
      </c>
      <c r="E284" s="5" t="s">
        <v>39</v>
      </c>
      <c r="F284" s="6" t="s">
        <v>29</v>
      </c>
      <c r="G284" s="6"/>
      <c r="H284" s="5" t="s">
        <v>56</v>
      </c>
      <c r="I284" s="12"/>
      <c r="J284" s="29" t="s">
        <v>46</v>
      </c>
      <c r="K284" s="29">
        <v>1</v>
      </c>
      <c r="L284" s="29"/>
      <c r="M284" s="25" t="s">
        <v>687</v>
      </c>
      <c r="N284" s="30" t="s">
        <v>18</v>
      </c>
    </row>
    <row r="285" spans="1:14" ht="387.6">
      <c r="A285" s="4">
        <v>25</v>
      </c>
      <c r="B285" s="4" t="s">
        <v>564</v>
      </c>
      <c r="C285" s="4" t="s">
        <v>158</v>
      </c>
      <c r="D285" s="5" t="s">
        <v>802</v>
      </c>
      <c r="E285" s="5" t="s">
        <v>39</v>
      </c>
      <c r="F285" s="6" t="s">
        <v>29</v>
      </c>
      <c r="G285" s="6"/>
      <c r="H285" s="5" t="s">
        <v>56</v>
      </c>
      <c r="I285" s="12"/>
      <c r="J285" s="29" t="s">
        <v>46</v>
      </c>
      <c r="K285" s="29">
        <v>1</v>
      </c>
      <c r="L285" s="29"/>
      <c r="M285" s="25" t="s">
        <v>687</v>
      </c>
      <c r="N285" s="30" t="s">
        <v>18</v>
      </c>
    </row>
    <row r="286" spans="1:14" ht="409.5">
      <c r="A286" s="4">
        <v>25</v>
      </c>
      <c r="B286" s="4" t="s">
        <v>564</v>
      </c>
      <c r="C286" s="4" t="s">
        <v>803</v>
      </c>
      <c r="D286" s="5" t="s">
        <v>804</v>
      </c>
      <c r="E286" s="5" t="s">
        <v>425</v>
      </c>
      <c r="F286" s="6" t="s">
        <v>116</v>
      </c>
      <c r="G286" s="6"/>
      <c r="H286" s="5" t="s">
        <v>805</v>
      </c>
      <c r="I286" s="12"/>
      <c r="J286" s="29" t="s">
        <v>33</v>
      </c>
      <c r="K286" s="29">
        <v>3</v>
      </c>
      <c r="L286" s="29"/>
      <c r="M286" s="25" t="s">
        <v>806</v>
      </c>
      <c r="N286" s="30" t="s">
        <v>568</v>
      </c>
    </row>
    <row r="287" spans="1:14" ht="409.5">
      <c r="A287" s="4">
        <v>26</v>
      </c>
      <c r="B287" s="4" t="s">
        <v>564</v>
      </c>
      <c r="C287" s="4" t="s">
        <v>808</v>
      </c>
      <c r="D287" s="5" t="s">
        <v>809</v>
      </c>
      <c r="E287" s="5" t="s">
        <v>425</v>
      </c>
      <c r="F287" s="6" t="s">
        <v>116</v>
      </c>
      <c r="G287" s="6"/>
      <c r="H287" s="5" t="s">
        <v>805</v>
      </c>
      <c r="I287" s="12"/>
      <c r="J287" s="29" t="s">
        <v>33</v>
      </c>
      <c r="K287" s="29">
        <v>3</v>
      </c>
      <c r="L287" s="29"/>
      <c r="M287" s="25" t="s">
        <v>806</v>
      </c>
      <c r="N287" s="30" t="s">
        <v>568</v>
      </c>
    </row>
    <row r="288" spans="1:14" ht="409.5">
      <c r="A288" s="4">
        <v>26</v>
      </c>
      <c r="B288" s="4" t="s">
        <v>564</v>
      </c>
      <c r="C288" s="4" t="s">
        <v>810</v>
      </c>
      <c r="D288" s="5" t="s">
        <v>811</v>
      </c>
      <c r="E288" s="5" t="s">
        <v>425</v>
      </c>
      <c r="F288" s="6" t="s">
        <v>29</v>
      </c>
      <c r="G288" s="6"/>
      <c r="H288" s="5" t="s">
        <v>56</v>
      </c>
      <c r="I288" s="12"/>
      <c r="J288" s="29" t="s">
        <v>46</v>
      </c>
      <c r="K288" s="29">
        <v>1</v>
      </c>
      <c r="L288" s="29"/>
      <c r="M288" s="25" t="s">
        <v>585</v>
      </c>
      <c r="N288" s="30" t="s">
        <v>18</v>
      </c>
    </row>
    <row r="289" spans="1:14" ht="409.5">
      <c r="A289" s="4">
        <v>26</v>
      </c>
      <c r="B289" s="4" t="s">
        <v>564</v>
      </c>
      <c r="C289" s="4" t="s">
        <v>812</v>
      </c>
      <c r="D289" s="5" t="s">
        <v>813</v>
      </c>
      <c r="E289" s="5" t="s">
        <v>425</v>
      </c>
      <c r="F289" s="6" t="s">
        <v>29</v>
      </c>
      <c r="G289" s="6"/>
      <c r="H289" s="5" t="s">
        <v>56</v>
      </c>
      <c r="I289" s="12"/>
      <c r="J289" s="29" t="s">
        <v>46</v>
      </c>
      <c r="K289" s="29">
        <v>1</v>
      </c>
      <c r="L289" s="29"/>
      <c r="M289" s="25" t="s">
        <v>585</v>
      </c>
      <c r="N289" s="30" t="s">
        <v>18</v>
      </c>
    </row>
    <row r="290" spans="1:14" ht="409.5">
      <c r="A290" s="4">
        <v>26</v>
      </c>
      <c r="B290" s="4" t="s">
        <v>564</v>
      </c>
      <c r="C290" s="4" t="s">
        <v>814</v>
      </c>
      <c r="D290" s="5" t="s">
        <v>815</v>
      </c>
      <c r="E290" s="5" t="s">
        <v>425</v>
      </c>
      <c r="F290" s="6" t="s">
        <v>557</v>
      </c>
      <c r="G290" s="6"/>
      <c r="H290" s="5" t="s">
        <v>601</v>
      </c>
      <c r="I290" s="12"/>
      <c r="J290" s="29" t="s">
        <v>33</v>
      </c>
      <c r="K290" s="29">
        <v>2</v>
      </c>
      <c r="L290" s="29"/>
      <c r="M290" s="25" t="s">
        <v>816</v>
      </c>
      <c r="N290" s="30" t="s">
        <v>568</v>
      </c>
    </row>
    <row r="291" spans="1:14" ht="409.5">
      <c r="A291" s="4">
        <v>26</v>
      </c>
      <c r="B291" s="4" t="s">
        <v>564</v>
      </c>
      <c r="C291" s="4" t="s">
        <v>817</v>
      </c>
      <c r="D291" s="5" t="s">
        <v>818</v>
      </c>
      <c r="E291" s="5" t="s">
        <v>61</v>
      </c>
      <c r="F291" s="6" t="s">
        <v>29</v>
      </c>
      <c r="G291" s="6"/>
      <c r="H291" s="5" t="s">
        <v>56</v>
      </c>
      <c r="I291" s="12"/>
      <c r="J291" s="29" t="s">
        <v>46</v>
      </c>
      <c r="K291" s="29">
        <v>1</v>
      </c>
      <c r="L291" s="29"/>
      <c r="M291" s="25" t="s">
        <v>687</v>
      </c>
      <c r="N291" s="30" t="s">
        <v>18</v>
      </c>
    </row>
    <row r="292" spans="1:14" ht="409.5">
      <c r="A292" s="4">
        <v>26</v>
      </c>
      <c r="B292" s="4" t="s">
        <v>564</v>
      </c>
      <c r="C292" s="4" t="s">
        <v>160</v>
      </c>
      <c r="D292" s="5" t="s">
        <v>819</v>
      </c>
      <c r="E292" s="5" t="s">
        <v>425</v>
      </c>
      <c r="F292" s="6" t="s">
        <v>29</v>
      </c>
      <c r="G292" s="6"/>
      <c r="H292" s="5" t="s">
        <v>820</v>
      </c>
      <c r="I292" s="12"/>
      <c r="J292" s="29" t="s">
        <v>33</v>
      </c>
      <c r="K292" s="29">
        <v>1</v>
      </c>
      <c r="L292" s="29"/>
      <c r="M292" s="25" t="s">
        <v>585</v>
      </c>
      <c r="N292" s="30" t="s">
        <v>586</v>
      </c>
    </row>
    <row r="293" spans="1:14" ht="409.5">
      <c r="A293" s="4">
        <v>27</v>
      </c>
      <c r="B293" s="4" t="s">
        <v>564</v>
      </c>
      <c r="C293" s="4" t="s">
        <v>604</v>
      </c>
      <c r="D293" s="5" t="s">
        <v>821</v>
      </c>
      <c r="E293" s="5" t="s">
        <v>425</v>
      </c>
      <c r="F293" s="6" t="s">
        <v>29</v>
      </c>
      <c r="G293" s="6"/>
      <c r="H293" s="5" t="s">
        <v>820</v>
      </c>
      <c r="I293" s="12"/>
      <c r="J293" s="29" t="s">
        <v>33</v>
      </c>
      <c r="K293" s="29">
        <v>1</v>
      </c>
      <c r="L293" s="29"/>
      <c r="M293" s="25" t="s">
        <v>585</v>
      </c>
      <c r="N293" s="30" t="s">
        <v>586</v>
      </c>
    </row>
    <row r="294" spans="1:14" ht="409.5">
      <c r="A294" s="4">
        <v>27</v>
      </c>
      <c r="B294" s="4" t="s">
        <v>564</v>
      </c>
      <c r="C294" s="4" t="s">
        <v>822</v>
      </c>
      <c r="D294" s="5" t="s">
        <v>823</v>
      </c>
      <c r="E294" s="5" t="s">
        <v>425</v>
      </c>
      <c r="F294" s="6" t="s">
        <v>29</v>
      </c>
      <c r="G294" s="6"/>
      <c r="H294" s="5" t="s">
        <v>820</v>
      </c>
      <c r="I294" s="12"/>
      <c r="J294" s="29" t="s">
        <v>33</v>
      </c>
      <c r="K294" s="29">
        <v>1</v>
      </c>
      <c r="L294" s="29"/>
      <c r="M294" s="25" t="s">
        <v>585</v>
      </c>
      <c r="N294" s="30" t="s">
        <v>586</v>
      </c>
    </row>
    <row r="295" spans="1:14" ht="356.45">
      <c r="A295" s="48">
        <v>27</v>
      </c>
      <c r="B295" s="48" t="s">
        <v>824</v>
      </c>
      <c r="C295" s="48" t="s">
        <v>163</v>
      </c>
      <c r="D295" s="49" t="s">
        <v>825</v>
      </c>
      <c r="E295" s="49" t="s">
        <v>61</v>
      </c>
      <c r="F295" s="48" t="s">
        <v>29</v>
      </c>
      <c r="G295" s="48"/>
      <c r="H295" s="49" t="s">
        <v>826</v>
      </c>
      <c r="I295" s="51"/>
      <c r="J295" s="52" t="s">
        <v>46</v>
      </c>
      <c r="K295" s="52">
        <v>1</v>
      </c>
      <c r="L295" s="52"/>
      <c r="M295" s="53" t="s">
        <v>48</v>
      </c>
      <c r="N295" s="54" t="s">
        <v>18</v>
      </c>
    </row>
    <row r="296" spans="1:14" ht="356.45">
      <c r="A296" s="4">
        <v>27</v>
      </c>
      <c r="B296" s="4" t="s">
        <v>824</v>
      </c>
      <c r="C296" s="4" t="s">
        <v>631</v>
      </c>
      <c r="D296" s="5" t="s">
        <v>827</v>
      </c>
      <c r="E296" s="5" t="s">
        <v>61</v>
      </c>
      <c r="F296" s="4" t="s">
        <v>29</v>
      </c>
      <c r="G296" s="4"/>
      <c r="H296" s="5" t="s">
        <v>56</v>
      </c>
      <c r="I296" s="12"/>
      <c r="J296" s="29" t="s">
        <v>46</v>
      </c>
      <c r="K296" s="29">
        <v>1</v>
      </c>
      <c r="L296" s="29"/>
      <c r="M296" s="25" t="s">
        <v>48</v>
      </c>
      <c r="N296" s="30" t="s">
        <v>18</v>
      </c>
    </row>
    <row r="297" spans="1:14" ht="356.45">
      <c r="A297" s="4">
        <v>27</v>
      </c>
      <c r="B297" s="4" t="s">
        <v>824</v>
      </c>
      <c r="C297" s="4" t="s">
        <v>634</v>
      </c>
      <c r="D297" s="5" t="s">
        <v>828</v>
      </c>
      <c r="E297" s="5" t="s">
        <v>61</v>
      </c>
      <c r="F297" s="4" t="s">
        <v>29</v>
      </c>
      <c r="G297" s="4"/>
      <c r="H297" s="5" t="s">
        <v>56</v>
      </c>
      <c r="I297" s="12"/>
      <c r="J297" s="29" t="s">
        <v>46</v>
      </c>
      <c r="K297" s="29">
        <v>1</v>
      </c>
      <c r="L297" s="29"/>
      <c r="M297" s="25" t="s">
        <v>48</v>
      </c>
      <c r="N297" s="30" t="s">
        <v>18</v>
      </c>
    </row>
    <row r="298" spans="1:14" ht="356.45">
      <c r="A298" s="4">
        <v>28</v>
      </c>
      <c r="B298" s="4" t="s">
        <v>824</v>
      </c>
      <c r="C298" s="4" t="s">
        <v>636</v>
      </c>
      <c r="D298" s="5" t="s">
        <v>829</v>
      </c>
      <c r="E298" s="5" t="s">
        <v>61</v>
      </c>
      <c r="F298" s="4" t="s">
        <v>29</v>
      </c>
      <c r="G298" s="4"/>
      <c r="H298" s="5" t="s">
        <v>56</v>
      </c>
      <c r="I298" s="12"/>
      <c r="J298" s="29" t="s">
        <v>46</v>
      </c>
      <c r="K298" s="29">
        <v>1</v>
      </c>
      <c r="L298" s="29"/>
      <c r="M298" s="25" t="s">
        <v>48</v>
      </c>
      <c r="N298" s="30" t="s">
        <v>18</v>
      </c>
    </row>
    <row r="299" spans="1:14" ht="356.45">
      <c r="A299" s="4">
        <v>28</v>
      </c>
      <c r="B299" s="4" t="s">
        <v>824</v>
      </c>
      <c r="C299" s="4" t="s">
        <v>830</v>
      </c>
      <c r="D299" s="5" t="s">
        <v>831</v>
      </c>
      <c r="E299" s="5" t="s">
        <v>61</v>
      </c>
      <c r="F299" s="4" t="s">
        <v>29</v>
      </c>
      <c r="G299" s="4"/>
      <c r="H299" s="5" t="s">
        <v>56</v>
      </c>
      <c r="I299" s="12"/>
      <c r="J299" s="29" t="s">
        <v>46</v>
      </c>
      <c r="K299" s="29">
        <v>1</v>
      </c>
      <c r="L299" s="29"/>
      <c r="M299" s="25" t="s">
        <v>48</v>
      </c>
      <c r="N299" s="30" t="s">
        <v>18</v>
      </c>
    </row>
    <row r="300" spans="1:14" ht="356.45">
      <c r="A300" s="48">
        <v>28</v>
      </c>
      <c r="B300" s="48" t="s">
        <v>824</v>
      </c>
      <c r="C300" s="48" t="s">
        <v>166</v>
      </c>
      <c r="D300" s="49" t="s">
        <v>832</v>
      </c>
      <c r="E300" s="49" t="s">
        <v>61</v>
      </c>
      <c r="F300" s="48" t="s">
        <v>29</v>
      </c>
      <c r="G300" s="48"/>
      <c r="H300" s="49" t="s">
        <v>833</v>
      </c>
      <c r="I300" s="51"/>
      <c r="J300" s="52" t="s">
        <v>46</v>
      </c>
      <c r="K300" s="52">
        <v>1</v>
      </c>
      <c r="L300" s="52"/>
      <c r="M300" s="53" t="s">
        <v>48</v>
      </c>
      <c r="N300" s="54" t="s">
        <v>18</v>
      </c>
    </row>
    <row r="301" spans="1:14" ht="409.5">
      <c r="A301" s="4">
        <v>28</v>
      </c>
      <c r="B301" s="4" t="s">
        <v>824</v>
      </c>
      <c r="C301" s="4" t="s">
        <v>641</v>
      </c>
      <c r="D301" s="5" t="s">
        <v>834</v>
      </c>
      <c r="E301" s="5" t="s">
        <v>61</v>
      </c>
      <c r="F301" s="4" t="s">
        <v>29</v>
      </c>
      <c r="G301" s="4"/>
      <c r="H301" s="5" t="s">
        <v>835</v>
      </c>
      <c r="I301" s="12"/>
      <c r="J301" s="29" t="s">
        <v>46</v>
      </c>
      <c r="K301" s="29">
        <v>1</v>
      </c>
      <c r="L301" s="29"/>
      <c r="M301" s="25" t="s">
        <v>48</v>
      </c>
      <c r="N301" s="30" t="s">
        <v>18</v>
      </c>
    </row>
    <row r="302" spans="1:14" ht="356.45">
      <c r="A302" s="48">
        <v>28</v>
      </c>
      <c r="B302" s="48" t="s">
        <v>824</v>
      </c>
      <c r="C302" s="48" t="s">
        <v>836</v>
      </c>
      <c r="D302" s="49" t="s">
        <v>837</v>
      </c>
      <c r="E302" s="49" t="s">
        <v>61</v>
      </c>
      <c r="F302" s="48" t="s">
        <v>29</v>
      </c>
      <c r="G302" s="48"/>
      <c r="H302" s="49" t="s">
        <v>838</v>
      </c>
      <c r="I302" s="51"/>
      <c r="J302" s="52" t="s">
        <v>46</v>
      </c>
      <c r="K302" s="52">
        <v>1</v>
      </c>
      <c r="L302" s="52"/>
      <c r="M302" s="53" t="s">
        <v>48</v>
      </c>
      <c r="N302" s="54" t="s">
        <v>18</v>
      </c>
    </row>
    <row r="303" spans="1:14" ht="387.6">
      <c r="A303" s="4">
        <v>28</v>
      </c>
      <c r="B303" s="4" t="s">
        <v>824</v>
      </c>
      <c r="C303" s="4" t="s">
        <v>839</v>
      </c>
      <c r="D303" s="5" t="s">
        <v>840</v>
      </c>
      <c r="E303" s="5" t="s">
        <v>61</v>
      </c>
      <c r="F303" s="4" t="s">
        <v>29</v>
      </c>
      <c r="G303" s="4"/>
      <c r="H303" s="5" t="s">
        <v>56</v>
      </c>
      <c r="I303" s="12"/>
      <c r="J303" s="29" t="s">
        <v>46</v>
      </c>
      <c r="K303" s="29">
        <v>1</v>
      </c>
      <c r="L303" s="29"/>
      <c r="M303" s="25" t="s">
        <v>48</v>
      </c>
      <c r="N303" s="30" t="s">
        <v>18</v>
      </c>
    </row>
    <row r="304" spans="1:14" ht="356.45">
      <c r="A304" s="48">
        <v>28</v>
      </c>
      <c r="B304" s="48" t="s">
        <v>824</v>
      </c>
      <c r="C304" s="48" t="s">
        <v>841</v>
      </c>
      <c r="D304" s="49" t="s">
        <v>842</v>
      </c>
      <c r="E304" s="49" t="s">
        <v>61</v>
      </c>
      <c r="F304" s="48" t="s">
        <v>29</v>
      </c>
      <c r="G304" s="48"/>
      <c r="H304" s="49" t="s">
        <v>843</v>
      </c>
      <c r="I304" s="51"/>
      <c r="J304" s="52" t="s">
        <v>46</v>
      </c>
      <c r="K304" s="52">
        <v>1</v>
      </c>
      <c r="L304" s="52"/>
      <c r="M304" s="53" t="s">
        <v>48</v>
      </c>
      <c r="N304" s="54" t="s">
        <v>18</v>
      </c>
    </row>
    <row r="305" spans="1:14" ht="387.6">
      <c r="A305" s="4">
        <v>28</v>
      </c>
      <c r="B305" s="4" t="s">
        <v>824</v>
      </c>
      <c r="C305" s="4" t="s">
        <v>844</v>
      </c>
      <c r="D305" s="5" t="s">
        <v>845</v>
      </c>
      <c r="E305" s="5" t="s">
        <v>61</v>
      </c>
      <c r="F305" s="4" t="s">
        <v>29</v>
      </c>
      <c r="G305" s="4"/>
      <c r="H305" s="5" t="s">
        <v>56</v>
      </c>
      <c r="I305" s="12"/>
      <c r="J305" s="29" t="s">
        <v>46</v>
      </c>
      <c r="K305" s="29">
        <v>1</v>
      </c>
      <c r="L305" s="29"/>
      <c r="M305" s="25" t="s">
        <v>48</v>
      </c>
      <c r="N305" s="30" t="s">
        <v>18</v>
      </c>
    </row>
    <row r="306" spans="1:14" ht="356.45">
      <c r="A306" s="4">
        <v>28</v>
      </c>
      <c r="B306" s="4" t="s">
        <v>824</v>
      </c>
      <c r="C306" s="4" t="s">
        <v>643</v>
      </c>
      <c r="D306" s="5" t="s">
        <v>829</v>
      </c>
      <c r="E306" s="5" t="s">
        <v>61</v>
      </c>
      <c r="F306" s="4" t="s">
        <v>29</v>
      </c>
      <c r="G306" s="4"/>
      <c r="H306" s="5" t="s">
        <v>56</v>
      </c>
      <c r="I306" s="12"/>
      <c r="J306" s="29" t="s">
        <v>46</v>
      </c>
      <c r="K306" s="29">
        <v>1</v>
      </c>
      <c r="L306" s="29"/>
      <c r="M306" s="25" t="s">
        <v>48</v>
      </c>
      <c r="N306" s="30" t="s">
        <v>18</v>
      </c>
    </row>
    <row r="307" spans="1:14" ht="139.5">
      <c r="A307" s="48">
        <v>28</v>
      </c>
      <c r="B307" s="48" t="s">
        <v>824</v>
      </c>
      <c r="C307" s="48" t="s">
        <v>423</v>
      </c>
      <c r="D307" s="49" t="s">
        <v>846</v>
      </c>
      <c r="E307" s="49" t="s">
        <v>425</v>
      </c>
      <c r="F307" s="50" t="s">
        <v>21</v>
      </c>
      <c r="G307" s="50"/>
      <c r="H307" s="49" t="s">
        <v>847</v>
      </c>
      <c r="I307" s="51"/>
      <c r="J307" s="55" t="s">
        <v>848</v>
      </c>
      <c r="K307" s="52">
        <v>1</v>
      </c>
      <c r="L307" s="52"/>
      <c r="M307" s="53" t="s">
        <v>25</v>
      </c>
      <c r="N307" s="54" t="s">
        <v>18</v>
      </c>
    </row>
    <row r="308" spans="1:14" ht="139.5">
      <c r="A308" s="48">
        <v>28</v>
      </c>
      <c r="B308" s="48" t="s">
        <v>824</v>
      </c>
      <c r="C308" s="48" t="s">
        <v>169</v>
      </c>
      <c r="D308" s="49" t="s">
        <v>849</v>
      </c>
      <c r="E308" s="49" t="s">
        <v>425</v>
      </c>
      <c r="F308" s="50" t="s">
        <v>21</v>
      </c>
      <c r="G308" s="50"/>
      <c r="H308" s="49" t="s">
        <v>850</v>
      </c>
      <c r="I308" s="51"/>
      <c r="J308" s="55" t="s">
        <v>848</v>
      </c>
      <c r="K308" s="52">
        <v>1</v>
      </c>
      <c r="L308" s="52"/>
      <c r="M308" s="53" t="s">
        <v>25</v>
      </c>
      <c r="N308" s="54" t="s">
        <v>18</v>
      </c>
    </row>
    <row r="309" spans="1:14" ht="279">
      <c r="A309" s="4">
        <v>28</v>
      </c>
      <c r="B309" s="4" t="s">
        <v>824</v>
      </c>
      <c r="C309" s="4" t="s">
        <v>851</v>
      </c>
      <c r="D309" s="5" t="s">
        <v>852</v>
      </c>
      <c r="E309" s="35" t="s">
        <v>39</v>
      </c>
      <c r="F309" s="34" t="s">
        <v>29</v>
      </c>
      <c r="G309" s="34"/>
      <c r="H309" s="35" t="s">
        <v>853</v>
      </c>
      <c r="I309" s="12"/>
      <c r="J309" s="29" t="s">
        <v>33</v>
      </c>
      <c r="K309" s="29">
        <v>1</v>
      </c>
      <c r="L309" s="29"/>
      <c r="M309" s="25" t="s">
        <v>81</v>
      </c>
      <c r="N309" s="30" t="s">
        <v>36</v>
      </c>
    </row>
    <row r="310" spans="1:14" ht="409.5">
      <c r="A310" s="4">
        <v>28</v>
      </c>
      <c r="B310" s="4" t="s">
        <v>824</v>
      </c>
      <c r="C310" s="4" t="s">
        <v>854</v>
      </c>
      <c r="D310" s="5" t="s">
        <v>855</v>
      </c>
      <c r="E310" s="35" t="s">
        <v>39</v>
      </c>
      <c r="F310" s="34" t="s">
        <v>29</v>
      </c>
      <c r="G310" s="34"/>
      <c r="H310" s="35" t="s">
        <v>856</v>
      </c>
      <c r="I310" s="12"/>
      <c r="J310" s="29" t="s">
        <v>33</v>
      </c>
      <c r="K310" s="29">
        <v>1</v>
      </c>
      <c r="L310" s="29"/>
      <c r="M310" s="25" t="s">
        <v>81</v>
      </c>
      <c r="N310" s="30" t="s">
        <v>36</v>
      </c>
    </row>
    <row r="311" spans="1:14" ht="341.1">
      <c r="A311" s="48">
        <v>28</v>
      </c>
      <c r="B311" s="48" t="s">
        <v>824</v>
      </c>
      <c r="C311" s="48" t="s">
        <v>857</v>
      </c>
      <c r="D311" s="49" t="s">
        <v>858</v>
      </c>
      <c r="E311" s="49" t="s">
        <v>39</v>
      </c>
      <c r="F311" s="56" t="s">
        <v>29</v>
      </c>
      <c r="G311" s="56"/>
      <c r="H311" s="49" t="s">
        <v>859</v>
      </c>
      <c r="I311" s="51"/>
      <c r="J311" s="52" t="s">
        <v>33</v>
      </c>
      <c r="K311" s="52">
        <v>1</v>
      </c>
      <c r="L311" s="52"/>
      <c r="M311" s="53" t="s">
        <v>101</v>
      </c>
      <c r="N311" s="54" t="s">
        <v>36</v>
      </c>
    </row>
    <row r="312" spans="1:14" ht="409.5">
      <c r="A312" s="4">
        <v>28</v>
      </c>
      <c r="B312" s="4" t="s">
        <v>824</v>
      </c>
      <c r="C312" s="4" t="s">
        <v>860</v>
      </c>
      <c r="D312" s="5" t="s">
        <v>861</v>
      </c>
      <c r="E312" s="5" t="s">
        <v>39</v>
      </c>
      <c r="F312" s="4" t="s">
        <v>29</v>
      </c>
      <c r="G312" s="4"/>
      <c r="H312" s="5" t="s">
        <v>862</v>
      </c>
      <c r="I312" s="12"/>
      <c r="J312" s="29" t="s">
        <v>33</v>
      </c>
      <c r="K312" s="29">
        <v>1</v>
      </c>
      <c r="L312" s="29"/>
      <c r="M312" s="25" t="s">
        <v>101</v>
      </c>
      <c r="N312" s="30" t="s">
        <v>36</v>
      </c>
    </row>
    <row r="313" spans="1:14" ht="409.5">
      <c r="A313" s="4">
        <v>28</v>
      </c>
      <c r="B313" s="4" t="s">
        <v>824</v>
      </c>
      <c r="C313" s="4" t="s">
        <v>863</v>
      </c>
      <c r="D313" s="5" t="s">
        <v>864</v>
      </c>
      <c r="E313" s="5" t="s">
        <v>39</v>
      </c>
      <c r="F313" s="34" t="s">
        <v>29</v>
      </c>
      <c r="G313" s="34"/>
      <c r="H313" s="5" t="s">
        <v>865</v>
      </c>
      <c r="I313" s="12"/>
      <c r="J313" s="29" t="s">
        <v>33</v>
      </c>
      <c r="K313" s="29">
        <v>1</v>
      </c>
      <c r="L313" s="29"/>
      <c r="M313" s="25" t="s">
        <v>81</v>
      </c>
      <c r="N313" s="30" t="s">
        <v>36</v>
      </c>
    </row>
    <row r="314" spans="1:14" ht="409.5">
      <c r="A314" s="4">
        <v>28</v>
      </c>
      <c r="B314" s="4" t="s">
        <v>824</v>
      </c>
      <c r="C314" s="4" t="s">
        <v>866</v>
      </c>
      <c r="D314" s="5" t="s">
        <v>867</v>
      </c>
      <c r="E314" s="5" t="s">
        <v>39</v>
      </c>
      <c r="F314" s="4" t="s">
        <v>29</v>
      </c>
      <c r="G314" s="4"/>
      <c r="H314" s="5" t="s">
        <v>868</v>
      </c>
      <c r="I314" s="12"/>
      <c r="J314" s="29" t="s">
        <v>33</v>
      </c>
      <c r="K314" s="29">
        <v>1</v>
      </c>
      <c r="L314" s="29"/>
      <c r="M314" s="25" t="s">
        <v>101</v>
      </c>
      <c r="N314" s="30" t="s">
        <v>36</v>
      </c>
    </row>
    <row r="315" spans="1:14" ht="155.1">
      <c r="A315" s="48">
        <v>28</v>
      </c>
      <c r="B315" s="48" t="s">
        <v>824</v>
      </c>
      <c r="C315" s="48" t="s">
        <v>869</v>
      </c>
      <c r="D315" s="49" t="s">
        <v>870</v>
      </c>
      <c r="E315" s="49" t="s">
        <v>39</v>
      </c>
      <c r="F315" s="50" t="s">
        <v>21</v>
      </c>
      <c r="G315" s="50"/>
      <c r="H315" s="49" t="s">
        <v>871</v>
      </c>
      <c r="I315" s="51"/>
      <c r="J315" s="55" t="s">
        <v>848</v>
      </c>
      <c r="K315" s="52">
        <v>1</v>
      </c>
      <c r="L315" s="52"/>
      <c r="M315" s="53" t="s">
        <v>25</v>
      </c>
      <c r="N315" s="54" t="s">
        <v>18</v>
      </c>
    </row>
    <row r="316" spans="1:14" ht="387.6">
      <c r="A316" s="4">
        <v>28</v>
      </c>
      <c r="B316" s="4" t="s">
        <v>824</v>
      </c>
      <c r="C316" s="4" t="s">
        <v>872</v>
      </c>
      <c r="D316" s="5" t="s">
        <v>873</v>
      </c>
      <c r="E316" s="5" t="s">
        <v>61</v>
      </c>
      <c r="F316" s="6" t="s">
        <v>62</v>
      </c>
      <c r="G316" s="6"/>
      <c r="H316" s="5" t="s">
        <v>874</v>
      </c>
      <c r="I316" s="12"/>
      <c r="J316" s="29" t="s">
        <v>46</v>
      </c>
      <c r="K316" s="29">
        <v>3</v>
      </c>
      <c r="L316" s="29"/>
      <c r="M316" s="25" t="s">
        <v>875</v>
      </c>
      <c r="N316" s="30" t="s">
        <v>568</v>
      </c>
    </row>
    <row r="317" spans="1:14" ht="356.45">
      <c r="A317" s="4">
        <v>28</v>
      </c>
      <c r="B317" s="4" t="s">
        <v>824</v>
      </c>
      <c r="C317" s="4" t="s">
        <v>876</v>
      </c>
      <c r="D317" s="5" t="s">
        <v>877</v>
      </c>
      <c r="E317" s="5" t="s">
        <v>61</v>
      </c>
      <c r="F317" s="4" t="s">
        <v>29</v>
      </c>
      <c r="G317" s="4"/>
      <c r="H317" s="5" t="s">
        <v>56</v>
      </c>
      <c r="I317" s="12"/>
      <c r="J317" s="29" t="s">
        <v>46</v>
      </c>
      <c r="K317" s="29">
        <v>1</v>
      </c>
      <c r="L317" s="29"/>
      <c r="M317" s="25" t="s">
        <v>48</v>
      </c>
      <c r="N317" s="30" t="s">
        <v>36</v>
      </c>
    </row>
    <row r="318" spans="1:14" ht="409.5">
      <c r="A318" s="4">
        <v>28</v>
      </c>
      <c r="B318" s="4" t="s">
        <v>824</v>
      </c>
      <c r="C318" s="4" t="s">
        <v>878</v>
      </c>
      <c r="D318" s="5" t="s">
        <v>879</v>
      </c>
      <c r="E318" s="5" t="s">
        <v>61</v>
      </c>
      <c r="F318" s="4" t="s">
        <v>116</v>
      </c>
      <c r="G318" s="4"/>
      <c r="H318" s="5" t="s">
        <v>880</v>
      </c>
      <c r="I318" s="12"/>
      <c r="J318" s="29" t="s">
        <v>33</v>
      </c>
      <c r="K318" s="29">
        <v>3</v>
      </c>
      <c r="L318" s="29"/>
      <c r="M318" s="25" t="s">
        <v>881</v>
      </c>
      <c r="N318" s="30" t="s">
        <v>568</v>
      </c>
    </row>
    <row r="319" spans="1:14" ht="409.5">
      <c r="A319" s="4">
        <v>28</v>
      </c>
      <c r="B319" s="4" t="s">
        <v>824</v>
      </c>
      <c r="C319" s="4" t="s">
        <v>883</v>
      </c>
      <c r="D319" s="5" t="s">
        <v>884</v>
      </c>
      <c r="E319" s="35" t="s">
        <v>39</v>
      </c>
      <c r="F319" s="34" t="s">
        <v>29</v>
      </c>
      <c r="G319" s="34"/>
      <c r="H319" s="5" t="s">
        <v>885</v>
      </c>
      <c r="I319" s="12"/>
      <c r="J319" s="29" t="s">
        <v>33</v>
      </c>
      <c r="K319" s="29">
        <v>2</v>
      </c>
      <c r="L319" s="29"/>
      <c r="M319" s="25" t="s">
        <v>886</v>
      </c>
      <c r="N319" s="30" t="s">
        <v>36</v>
      </c>
    </row>
    <row r="320" spans="1:14" ht="409.5">
      <c r="A320" s="4">
        <v>28</v>
      </c>
      <c r="B320" s="4" t="s">
        <v>824</v>
      </c>
      <c r="C320" s="4" t="s">
        <v>887</v>
      </c>
      <c r="D320" s="5" t="s">
        <v>888</v>
      </c>
      <c r="E320" s="5" t="s">
        <v>425</v>
      </c>
      <c r="F320" s="4" t="s">
        <v>29</v>
      </c>
      <c r="G320" s="4"/>
      <c r="H320" s="5" t="s">
        <v>889</v>
      </c>
      <c r="I320" s="12"/>
      <c r="J320" s="29" t="s">
        <v>33</v>
      </c>
      <c r="K320" s="29">
        <v>2</v>
      </c>
      <c r="L320" s="29"/>
      <c r="M320" s="25" t="s">
        <v>101</v>
      </c>
      <c r="N320" s="30" t="s">
        <v>36</v>
      </c>
    </row>
    <row r="321" spans="1:14" ht="341.1">
      <c r="A321" s="48">
        <v>29</v>
      </c>
      <c r="B321" s="48" t="s">
        <v>824</v>
      </c>
      <c r="C321" s="48" t="s">
        <v>172</v>
      </c>
      <c r="D321" s="49" t="s">
        <v>890</v>
      </c>
      <c r="E321" s="49" t="s">
        <v>39</v>
      </c>
      <c r="F321" s="50" t="s">
        <v>21</v>
      </c>
      <c r="G321" s="50"/>
      <c r="H321" s="49" t="s">
        <v>891</v>
      </c>
      <c r="I321" s="51"/>
      <c r="J321" s="52" t="s">
        <v>33</v>
      </c>
      <c r="K321" s="52">
        <v>1</v>
      </c>
      <c r="L321" s="52"/>
      <c r="M321" s="53" t="s">
        <v>101</v>
      </c>
      <c r="N321" s="54" t="s">
        <v>36</v>
      </c>
    </row>
    <row r="322" spans="1:14" ht="409.5">
      <c r="A322" s="4">
        <v>29</v>
      </c>
      <c r="B322" s="4" t="s">
        <v>824</v>
      </c>
      <c r="C322" s="4" t="s">
        <v>892</v>
      </c>
      <c r="D322" s="5" t="s">
        <v>893</v>
      </c>
      <c r="E322" s="5" t="s">
        <v>39</v>
      </c>
      <c r="F322" s="4" t="s">
        <v>29</v>
      </c>
      <c r="G322" s="4"/>
      <c r="H322" s="5" t="s">
        <v>894</v>
      </c>
      <c r="I322" s="12"/>
      <c r="J322" s="29" t="s">
        <v>33</v>
      </c>
      <c r="K322" s="29">
        <v>1</v>
      </c>
      <c r="L322" s="29"/>
      <c r="M322" s="25" t="s">
        <v>101</v>
      </c>
      <c r="N322" s="30" t="s">
        <v>36</v>
      </c>
    </row>
    <row r="323" spans="1:14" ht="325.5">
      <c r="A323" s="48">
        <v>29</v>
      </c>
      <c r="B323" s="48" t="s">
        <v>824</v>
      </c>
      <c r="C323" s="48" t="s">
        <v>895</v>
      </c>
      <c r="D323" s="49" t="s">
        <v>896</v>
      </c>
      <c r="E323" s="49" t="s">
        <v>39</v>
      </c>
      <c r="F323" s="50" t="s">
        <v>897</v>
      </c>
      <c r="G323" s="50"/>
      <c r="H323" s="49" t="s">
        <v>898</v>
      </c>
      <c r="I323" s="51"/>
      <c r="J323" s="52" t="s">
        <v>33</v>
      </c>
      <c r="K323" s="52">
        <v>2</v>
      </c>
      <c r="L323" s="52"/>
      <c r="M323" s="53" t="s">
        <v>899</v>
      </c>
      <c r="N323" s="54" t="s">
        <v>568</v>
      </c>
    </row>
    <row r="324" spans="1:14" ht="315">
      <c r="A324" s="4">
        <v>29</v>
      </c>
      <c r="B324" s="4" t="s">
        <v>824</v>
      </c>
      <c r="C324" s="4" t="s">
        <v>900</v>
      </c>
      <c r="D324" s="5" t="s">
        <v>901</v>
      </c>
      <c r="E324" s="5" t="s">
        <v>39</v>
      </c>
      <c r="F324" s="34" t="s">
        <v>29</v>
      </c>
      <c r="G324" s="34"/>
      <c r="H324" s="35" t="s">
        <v>902</v>
      </c>
      <c r="I324" s="12"/>
      <c r="J324" s="29" t="s">
        <v>33</v>
      </c>
      <c r="K324" s="29">
        <v>1</v>
      </c>
      <c r="L324" s="29"/>
      <c r="M324" s="25" t="s">
        <v>81</v>
      </c>
      <c r="N324" s="30" t="s">
        <v>36</v>
      </c>
    </row>
    <row r="325" spans="1:14" ht="325.5">
      <c r="A325" s="48">
        <v>29</v>
      </c>
      <c r="B325" s="48" t="s">
        <v>824</v>
      </c>
      <c r="C325" s="48" t="s">
        <v>903</v>
      </c>
      <c r="D325" s="49" t="s">
        <v>904</v>
      </c>
      <c r="E325" s="49" t="s">
        <v>39</v>
      </c>
      <c r="F325" s="50" t="s">
        <v>62</v>
      </c>
      <c r="G325" s="50"/>
      <c r="H325" s="49" t="s">
        <v>905</v>
      </c>
      <c r="I325" s="51"/>
      <c r="J325" s="52" t="s">
        <v>33</v>
      </c>
      <c r="K325" s="52">
        <v>2</v>
      </c>
      <c r="L325" s="52"/>
      <c r="M325" s="53" t="s">
        <v>899</v>
      </c>
      <c r="N325" s="54" t="s">
        <v>568</v>
      </c>
    </row>
    <row r="326" spans="1:14" ht="409.5">
      <c r="A326" s="4">
        <v>29</v>
      </c>
      <c r="B326" s="4" t="s">
        <v>824</v>
      </c>
      <c r="C326" s="4" t="s">
        <v>906</v>
      </c>
      <c r="D326" s="5" t="s">
        <v>907</v>
      </c>
      <c r="E326" s="5" t="s">
        <v>39</v>
      </c>
      <c r="F326" s="6" t="s">
        <v>62</v>
      </c>
      <c r="G326" s="6"/>
      <c r="H326" s="5" t="s">
        <v>908</v>
      </c>
      <c r="I326" s="12"/>
      <c r="J326" s="29" t="s">
        <v>33</v>
      </c>
      <c r="K326" s="29">
        <v>2</v>
      </c>
      <c r="L326" s="29"/>
      <c r="M326" s="25" t="s">
        <v>899</v>
      </c>
      <c r="N326" s="30" t="s">
        <v>568</v>
      </c>
    </row>
    <row r="327" spans="1:14" ht="325.5">
      <c r="A327" s="48">
        <v>29</v>
      </c>
      <c r="B327" s="48" t="s">
        <v>824</v>
      </c>
      <c r="C327" s="48" t="s">
        <v>909</v>
      </c>
      <c r="D327" s="49" t="s">
        <v>910</v>
      </c>
      <c r="E327" s="49" t="s">
        <v>39</v>
      </c>
      <c r="F327" s="50" t="s">
        <v>62</v>
      </c>
      <c r="G327" s="50"/>
      <c r="H327" s="49" t="s">
        <v>911</v>
      </c>
      <c r="I327" s="51"/>
      <c r="J327" s="52" t="s">
        <v>33</v>
      </c>
      <c r="K327" s="52">
        <v>2</v>
      </c>
      <c r="L327" s="52"/>
      <c r="M327" s="53" t="s">
        <v>899</v>
      </c>
      <c r="N327" s="54" t="s">
        <v>568</v>
      </c>
    </row>
    <row r="328" spans="1:14" ht="409.5">
      <c r="A328" s="4">
        <v>29</v>
      </c>
      <c r="B328" s="4" t="s">
        <v>824</v>
      </c>
      <c r="C328" s="4" t="s">
        <v>912</v>
      </c>
      <c r="D328" s="5" t="s">
        <v>913</v>
      </c>
      <c r="E328" s="5" t="s">
        <v>39</v>
      </c>
      <c r="F328" s="6" t="s">
        <v>62</v>
      </c>
      <c r="G328" s="6"/>
      <c r="H328" s="5" t="s">
        <v>914</v>
      </c>
      <c r="I328" s="12"/>
      <c r="J328" s="29" t="s">
        <v>33</v>
      </c>
      <c r="K328" s="29">
        <v>2</v>
      </c>
      <c r="L328" s="29"/>
      <c r="M328" s="25" t="s">
        <v>899</v>
      </c>
      <c r="N328" s="30" t="s">
        <v>568</v>
      </c>
    </row>
    <row r="329" spans="1:14" ht="409.5">
      <c r="A329" s="4">
        <v>29</v>
      </c>
      <c r="B329" s="4" t="s">
        <v>824</v>
      </c>
      <c r="C329" s="4" t="s">
        <v>915</v>
      </c>
      <c r="D329" s="5" t="s">
        <v>916</v>
      </c>
      <c r="E329" s="5" t="s">
        <v>39</v>
      </c>
      <c r="F329" s="6" t="s">
        <v>62</v>
      </c>
      <c r="G329" s="6"/>
      <c r="H329" s="5" t="s">
        <v>917</v>
      </c>
      <c r="I329" s="12"/>
      <c r="J329" s="29" t="s">
        <v>33</v>
      </c>
      <c r="K329" s="29">
        <v>2</v>
      </c>
      <c r="L329" s="29"/>
      <c r="M329" s="25" t="s">
        <v>899</v>
      </c>
      <c r="N329" s="30" t="s">
        <v>568</v>
      </c>
    </row>
    <row r="330" spans="1:14" ht="279">
      <c r="A330" s="48">
        <v>29</v>
      </c>
      <c r="B330" s="48" t="s">
        <v>824</v>
      </c>
      <c r="C330" s="48" t="s">
        <v>919</v>
      </c>
      <c r="D330" s="49" t="s">
        <v>920</v>
      </c>
      <c r="E330" s="49" t="s">
        <v>39</v>
      </c>
      <c r="F330" s="56" t="s">
        <v>29</v>
      </c>
      <c r="G330" s="56"/>
      <c r="H330" s="49" t="s">
        <v>921</v>
      </c>
      <c r="I330" s="51"/>
      <c r="J330" s="52" t="s">
        <v>33</v>
      </c>
      <c r="K330" s="52">
        <v>1</v>
      </c>
      <c r="L330" s="52"/>
      <c r="M330" s="53" t="s">
        <v>81</v>
      </c>
      <c r="N330" s="54" t="s">
        <v>36</v>
      </c>
    </row>
    <row r="331" spans="1:14" ht="409.5">
      <c r="A331" s="4">
        <v>29</v>
      </c>
      <c r="B331" s="4" t="s">
        <v>824</v>
      </c>
      <c r="C331" s="4" t="s">
        <v>922</v>
      </c>
      <c r="D331" s="5" t="s">
        <v>923</v>
      </c>
      <c r="E331" s="5" t="s">
        <v>39</v>
      </c>
      <c r="F331" s="34" t="s">
        <v>29</v>
      </c>
      <c r="G331" s="34"/>
      <c r="H331" s="35" t="s">
        <v>856</v>
      </c>
      <c r="I331" s="12"/>
      <c r="J331" s="29" t="s">
        <v>33</v>
      </c>
      <c r="K331" s="29">
        <v>1</v>
      </c>
      <c r="L331" s="29"/>
      <c r="M331" s="25" t="s">
        <v>81</v>
      </c>
      <c r="N331" s="30" t="s">
        <v>36</v>
      </c>
    </row>
    <row r="332" spans="1:14" ht="315">
      <c r="A332" s="4">
        <v>29</v>
      </c>
      <c r="B332" s="4" t="s">
        <v>824</v>
      </c>
      <c r="C332" s="4" t="s">
        <v>924</v>
      </c>
      <c r="D332" s="5" t="s">
        <v>901</v>
      </c>
      <c r="E332" s="5" t="s">
        <v>39</v>
      </c>
      <c r="F332" s="34" t="s">
        <v>29</v>
      </c>
      <c r="G332" s="34"/>
      <c r="H332" s="35" t="s">
        <v>902</v>
      </c>
      <c r="I332" s="12"/>
      <c r="J332" s="29" t="s">
        <v>33</v>
      </c>
      <c r="K332" s="29">
        <v>1</v>
      </c>
      <c r="L332" s="29"/>
      <c r="M332" s="25" t="s">
        <v>81</v>
      </c>
      <c r="N332" s="30" t="s">
        <v>36</v>
      </c>
    </row>
    <row r="333" spans="1:14" ht="341.1">
      <c r="A333" s="48">
        <v>29</v>
      </c>
      <c r="B333" s="48" t="s">
        <v>824</v>
      </c>
      <c r="C333" s="48" t="s">
        <v>925</v>
      </c>
      <c r="D333" s="49" t="s">
        <v>926</v>
      </c>
      <c r="E333" s="49" t="s">
        <v>39</v>
      </c>
      <c r="F333" s="50" t="s">
        <v>29</v>
      </c>
      <c r="G333" s="50"/>
      <c r="H333" s="49" t="s">
        <v>927</v>
      </c>
      <c r="I333" s="51"/>
      <c r="J333" s="52" t="s">
        <v>33</v>
      </c>
      <c r="K333" s="52">
        <v>1</v>
      </c>
      <c r="L333" s="52"/>
      <c r="M333" s="53" t="s">
        <v>101</v>
      </c>
      <c r="N333" s="54" t="s">
        <v>36</v>
      </c>
    </row>
    <row r="334" spans="1:14" ht="341.1">
      <c r="A334" s="48">
        <v>29</v>
      </c>
      <c r="B334" s="48" t="s">
        <v>824</v>
      </c>
      <c r="C334" s="48" t="s">
        <v>928</v>
      </c>
      <c r="D334" s="49" t="s">
        <v>929</v>
      </c>
      <c r="E334" s="49" t="s">
        <v>39</v>
      </c>
      <c r="F334" s="50" t="s">
        <v>29</v>
      </c>
      <c r="G334" s="50"/>
      <c r="H334" s="49" t="s">
        <v>930</v>
      </c>
      <c r="I334" s="51"/>
      <c r="J334" s="52" t="s">
        <v>33</v>
      </c>
      <c r="K334" s="52">
        <v>1</v>
      </c>
      <c r="L334" s="52"/>
      <c r="M334" s="53" t="s">
        <v>101</v>
      </c>
      <c r="N334" s="54" t="s">
        <v>36</v>
      </c>
    </row>
    <row r="335" spans="1:14" ht="409.5">
      <c r="A335" s="4">
        <v>29</v>
      </c>
      <c r="B335" s="4" t="s">
        <v>824</v>
      </c>
      <c r="C335" s="4" t="s">
        <v>931</v>
      </c>
      <c r="D335" s="5" t="s">
        <v>932</v>
      </c>
      <c r="E335" s="5" t="s">
        <v>39</v>
      </c>
      <c r="F335" s="6" t="s">
        <v>29</v>
      </c>
      <c r="G335" s="6"/>
      <c r="H335" s="5" t="s">
        <v>933</v>
      </c>
      <c r="I335" s="12"/>
      <c r="J335" s="29" t="s">
        <v>33</v>
      </c>
      <c r="K335" s="29">
        <v>1</v>
      </c>
      <c r="L335" s="29"/>
      <c r="M335" s="25" t="s">
        <v>101</v>
      </c>
      <c r="N335" s="30" t="s">
        <v>36</v>
      </c>
    </row>
    <row r="336" spans="1:14" ht="409.5">
      <c r="A336" s="4">
        <v>29</v>
      </c>
      <c r="B336" s="4" t="s">
        <v>824</v>
      </c>
      <c r="C336" s="4" t="s">
        <v>934</v>
      </c>
      <c r="D336" s="5" t="s">
        <v>935</v>
      </c>
      <c r="E336" s="5" t="s">
        <v>39</v>
      </c>
      <c r="F336" s="6" t="s">
        <v>29</v>
      </c>
      <c r="G336" s="6"/>
      <c r="H336" s="5" t="s">
        <v>933</v>
      </c>
      <c r="I336" s="12"/>
      <c r="J336" s="29" t="s">
        <v>33</v>
      </c>
      <c r="K336" s="29">
        <v>1</v>
      </c>
      <c r="L336" s="29"/>
      <c r="M336" s="25" t="s">
        <v>101</v>
      </c>
      <c r="N336" s="30" t="s">
        <v>36</v>
      </c>
    </row>
    <row r="337" spans="1:14" ht="409.5">
      <c r="A337" s="4">
        <v>29</v>
      </c>
      <c r="B337" s="4" t="s">
        <v>824</v>
      </c>
      <c r="C337" s="4" t="s">
        <v>936</v>
      </c>
      <c r="D337" s="5" t="s">
        <v>937</v>
      </c>
      <c r="E337" s="5" t="s">
        <v>39</v>
      </c>
      <c r="F337" s="6" t="s">
        <v>29</v>
      </c>
      <c r="G337" s="6"/>
      <c r="H337" s="5" t="s">
        <v>933</v>
      </c>
      <c r="I337" s="12"/>
      <c r="J337" s="29" t="s">
        <v>33</v>
      </c>
      <c r="K337" s="29">
        <v>1</v>
      </c>
      <c r="L337" s="29"/>
      <c r="M337" s="25" t="s">
        <v>101</v>
      </c>
      <c r="N337" s="30" t="s">
        <v>36</v>
      </c>
    </row>
    <row r="338" spans="1:14" ht="409.5">
      <c r="A338" s="4">
        <v>29</v>
      </c>
      <c r="B338" s="4" t="s">
        <v>824</v>
      </c>
      <c r="C338" s="4" t="s">
        <v>936</v>
      </c>
      <c r="D338" s="5" t="s">
        <v>938</v>
      </c>
      <c r="E338" s="5" t="s">
        <v>39</v>
      </c>
      <c r="F338" s="6" t="s">
        <v>29</v>
      </c>
      <c r="G338" s="6"/>
      <c r="H338" s="5" t="s">
        <v>933</v>
      </c>
      <c r="I338" s="12"/>
      <c r="J338" s="29" t="s">
        <v>33</v>
      </c>
      <c r="K338" s="29">
        <v>1</v>
      </c>
      <c r="L338" s="29"/>
      <c r="M338" s="25" t="s">
        <v>101</v>
      </c>
      <c r="N338" s="30" t="s">
        <v>36</v>
      </c>
    </row>
    <row r="339" spans="1:14" ht="341.1">
      <c r="A339" s="48">
        <v>29</v>
      </c>
      <c r="B339" s="48" t="s">
        <v>824</v>
      </c>
      <c r="C339" s="48" t="s">
        <v>939</v>
      </c>
      <c r="D339" s="49" t="s">
        <v>940</v>
      </c>
      <c r="E339" s="49" t="s">
        <v>39</v>
      </c>
      <c r="F339" s="50" t="s">
        <v>29</v>
      </c>
      <c r="G339" s="50"/>
      <c r="H339" s="49" t="s">
        <v>941</v>
      </c>
      <c r="I339" s="51"/>
      <c r="J339" s="52" t="s">
        <v>33</v>
      </c>
      <c r="K339" s="52">
        <v>1</v>
      </c>
      <c r="L339" s="52"/>
      <c r="M339" s="53" t="s">
        <v>101</v>
      </c>
      <c r="N339" s="54" t="s">
        <v>36</v>
      </c>
    </row>
    <row r="340" spans="1:14" ht="409.5">
      <c r="A340" s="4">
        <v>29</v>
      </c>
      <c r="B340" s="4" t="s">
        <v>824</v>
      </c>
      <c r="C340" s="4" t="s">
        <v>942</v>
      </c>
      <c r="D340" s="5" t="s">
        <v>943</v>
      </c>
      <c r="E340" s="5" t="s">
        <v>39</v>
      </c>
      <c r="F340" s="6" t="s">
        <v>29</v>
      </c>
      <c r="G340" s="6"/>
      <c r="H340" s="5" t="s">
        <v>944</v>
      </c>
      <c r="I340" s="12"/>
      <c r="J340" s="29" t="s">
        <v>33</v>
      </c>
      <c r="K340" s="29">
        <v>1</v>
      </c>
      <c r="L340" s="29"/>
      <c r="M340" s="25" t="s">
        <v>101</v>
      </c>
      <c r="N340" s="30" t="s">
        <v>36</v>
      </c>
    </row>
    <row r="341" spans="1:14" ht="409.5">
      <c r="A341" s="4">
        <v>30</v>
      </c>
      <c r="B341" s="4" t="s">
        <v>824</v>
      </c>
      <c r="C341" s="4" t="s">
        <v>945</v>
      </c>
      <c r="D341" s="5" t="s">
        <v>946</v>
      </c>
      <c r="E341" s="5" t="s">
        <v>39</v>
      </c>
      <c r="F341" s="6" t="s">
        <v>29</v>
      </c>
      <c r="G341" s="6"/>
      <c r="H341" s="5" t="s">
        <v>944</v>
      </c>
      <c r="I341" s="12"/>
      <c r="J341" s="29" t="s">
        <v>33</v>
      </c>
      <c r="K341" s="29">
        <v>1</v>
      </c>
      <c r="L341" s="29"/>
      <c r="M341" s="25" t="s">
        <v>101</v>
      </c>
      <c r="N341" s="30" t="s">
        <v>36</v>
      </c>
    </row>
    <row r="342" spans="1:14" ht="409.5">
      <c r="A342" s="4">
        <v>30</v>
      </c>
      <c r="B342" s="4" t="s">
        <v>824</v>
      </c>
      <c r="C342" s="4" t="s">
        <v>947</v>
      </c>
      <c r="D342" s="5" t="s">
        <v>948</v>
      </c>
      <c r="E342" s="5" t="s">
        <v>39</v>
      </c>
      <c r="F342" s="6" t="s">
        <v>29</v>
      </c>
      <c r="G342" s="6"/>
      <c r="H342" s="5" t="s">
        <v>944</v>
      </c>
      <c r="I342" s="12"/>
      <c r="J342" s="29" t="s">
        <v>33</v>
      </c>
      <c r="K342" s="29">
        <v>1</v>
      </c>
      <c r="L342" s="29"/>
      <c r="M342" s="25" t="s">
        <v>101</v>
      </c>
      <c r="N342" s="30" t="s">
        <v>36</v>
      </c>
    </row>
    <row r="343" spans="1:14" ht="409.5">
      <c r="A343" s="4">
        <v>30</v>
      </c>
      <c r="B343" s="4" t="s">
        <v>824</v>
      </c>
      <c r="C343" s="4" t="s">
        <v>949</v>
      </c>
      <c r="D343" s="5" t="s">
        <v>950</v>
      </c>
      <c r="E343" s="5" t="s">
        <v>39</v>
      </c>
      <c r="F343" s="6" t="s">
        <v>29</v>
      </c>
      <c r="G343" s="6"/>
      <c r="H343" s="5" t="s">
        <v>944</v>
      </c>
      <c r="I343" s="12"/>
      <c r="J343" s="29" t="s">
        <v>33</v>
      </c>
      <c r="K343" s="29">
        <v>1</v>
      </c>
      <c r="L343" s="29"/>
      <c r="M343" s="25" t="s">
        <v>101</v>
      </c>
      <c r="N343" s="30" t="s">
        <v>36</v>
      </c>
    </row>
    <row r="344" spans="1:14" ht="341.1">
      <c r="A344" s="37">
        <v>30</v>
      </c>
      <c r="B344" s="37" t="s">
        <v>824</v>
      </c>
      <c r="C344" s="37" t="s">
        <v>951</v>
      </c>
      <c r="D344" s="38" t="s">
        <v>952</v>
      </c>
      <c r="E344" s="38" t="s">
        <v>39</v>
      </c>
      <c r="F344" s="40" t="s">
        <v>29</v>
      </c>
      <c r="G344" s="40"/>
      <c r="H344" s="38" t="s">
        <v>953</v>
      </c>
      <c r="I344" s="39"/>
      <c r="J344" s="40" t="s">
        <v>33</v>
      </c>
      <c r="K344" s="40">
        <v>1</v>
      </c>
      <c r="L344" s="40"/>
      <c r="M344" s="39" t="s">
        <v>101</v>
      </c>
      <c r="N344" s="37" t="s">
        <v>36</v>
      </c>
    </row>
    <row r="345" spans="1:14" ht="409.5">
      <c r="A345" s="4">
        <v>30</v>
      </c>
      <c r="B345" s="4" t="s">
        <v>824</v>
      </c>
      <c r="C345" s="4" t="s">
        <v>954</v>
      </c>
      <c r="D345" s="5" t="s">
        <v>955</v>
      </c>
      <c r="E345" s="5" t="s">
        <v>39</v>
      </c>
      <c r="F345" s="6" t="s">
        <v>29</v>
      </c>
      <c r="G345" s="6"/>
      <c r="H345" s="5" t="s">
        <v>956</v>
      </c>
      <c r="I345" s="12"/>
      <c r="J345" s="29" t="s">
        <v>33</v>
      </c>
      <c r="K345" s="29">
        <v>1</v>
      </c>
      <c r="L345" s="29"/>
      <c r="M345" s="25" t="s">
        <v>101</v>
      </c>
      <c r="N345" s="30" t="s">
        <v>36</v>
      </c>
    </row>
    <row r="346" spans="1:14" ht="409.5">
      <c r="A346" s="4">
        <v>30</v>
      </c>
      <c r="B346" s="4" t="s">
        <v>824</v>
      </c>
      <c r="C346" s="4" t="s">
        <v>957</v>
      </c>
      <c r="D346" s="5" t="s">
        <v>958</v>
      </c>
      <c r="E346" s="5" t="s">
        <v>39</v>
      </c>
      <c r="F346" s="6" t="s">
        <v>29</v>
      </c>
      <c r="G346" s="6"/>
      <c r="H346" s="5" t="s">
        <v>956</v>
      </c>
      <c r="I346" s="12"/>
      <c r="J346" s="29" t="s">
        <v>33</v>
      </c>
      <c r="K346" s="29">
        <v>1</v>
      </c>
      <c r="L346" s="29"/>
      <c r="M346" s="25" t="s">
        <v>101</v>
      </c>
      <c r="N346" s="30" t="s">
        <v>36</v>
      </c>
    </row>
    <row r="347" spans="1:14" ht="409.5">
      <c r="A347" s="4">
        <v>30</v>
      </c>
      <c r="B347" s="4" t="s">
        <v>824</v>
      </c>
      <c r="C347" s="4" t="s">
        <v>959</v>
      </c>
      <c r="D347" s="5" t="s">
        <v>960</v>
      </c>
      <c r="E347" s="5" t="s">
        <v>39</v>
      </c>
      <c r="F347" s="6" t="s">
        <v>29</v>
      </c>
      <c r="G347" s="6"/>
      <c r="H347" s="5" t="s">
        <v>956</v>
      </c>
      <c r="I347" s="12"/>
      <c r="J347" s="29" t="s">
        <v>33</v>
      </c>
      <c r="K347" s="29">
        <v>1</v>
      </c>
      <c r="L347" s="29"/>
      <c r="M347" s="25" t="s">
        <v>101</v>
      </c>
      <c r="N347" s="30" t="s">
        <v>36</v>
      </c>
    </row>
    <row r="348" spans="1:14" ht="409.5">
      <c r="A348" s="4">
        <v>30</v>
      </c>
      <c r="B348" s="4" t="s">
        <v>824</v>
      </c>
      <c r="C348" s="4" t="s">
        <v>961</v>
      </c>
      <c r="D348" s="5" t="s">
        <v>962</v>
      </c>
      <c r="E348" s="5" t="s">
        <v>39</v>
      </c>
      <c r="F348" s="6" t="s">
        <v>29</v>
      </c>
      <c r="G348" s="6"/>
      <c r="H348" s="5" t="s">
        <v>956</v>
      </c>
      <c r="I348" s="12"/>
      <c r="J348" s="29" t="s">
        <v>33</v>
      </c>
      <c r="K348" s="29">
        <v>1</v>
      </c>
      <c r="L348" s="29"/>
      <c r="M348" s="25" t="s">
        <v>101</v>
      </c>
      <c r="N348" s="30" t="s">
        <v>36</v>
      </c>
    </row>
    <row r="349" spans="1:14" ht="341.1">
      <c r="A349" s="37">
        <v>30</v>
      </c>
      <c r="B349" s="37" t="s">
        <v>824</v>
      </c>
      <c r="C349" s="37" t="s">
        <v>963</v>
      </c>
      <c r="D349" s="38" t="s">
        <v>964</v>
      </c>
      <c r="E349" s="38" t="s">
        <v>39</v>
      </c>
      <c r="F349" s="40" t="s">
        <v>29</v>
      </c>
      <c r="G349" s="40"/>
      <c r="H349" s="38" t="s">
        <v>965</v>
      </c>
      <c r="I349" s="39"/>
      <c r="J349" s="40" t="s">
        <v>33</v>
      </c>
      <c r="K349" s="40">
        <v>1</v>
      </c>
      <c r="L349" s="40"/>
      <c r="M349" s="39" t="s">
        <v>101</v>
      </c>
      <c r="N349" s="37" t="s">
        <v>36</v>
      </c>
    </row>
    <row r="350" spans="1:14" ht="409.5">
      <c r="A350" s="4">
        <v>30</v>
      </c>
      <c r="B350" s="4" t="s">
        <v>824</v>
      </c>
      <c r="C350" s="4" t="s">
        <v>966</v>
      </c>
      <c r="D350" s="5" t="s">
        <v>967</v>
      </c>
      <c r="E350" s="5" t="s">
        <v>39</v>
      </c>
      <c r="F350" s="6" t="s">
        <v>29</v>
      </c>
      <c r="G350" s="6"/>
      <c r="H350" s="5" t="s">
        <v>968</v>
      </c>
      <c r="I350" s="12"/>
      <c r="J350" s="29" t="s">
        <v>33</v>
      </c>
      <c r="K350" s="29">
        <v>1</v>
      </c>
      <c r="L350" s="29"/>
      <c r="M350" s="25" t="s">
        <v>101</v>
      </c>
      <c r="N350" s="30" t="s">
        <v>36</v>
      </c>
    </row>
    <row r="351" spans="1:14" ht="409.5">
      <c r="A351" s="4">
        <v>30</v>
      </c>
      <c r="B351" s="4" t="s">
        <v>824</v>
      </c>
      <c r="C351" s="4" t="s">
        <v>969</v>
      </c>
      <c r="D351" s="5" t="s">
        <v>970</v>
      </c>
      <c r="E351" s="5" t="s">
        <v>39</v>
      </c>
      <c r="F351" s="6" t="s">
        <v>29</v>
      </c>
      <c r="G351" s="6"/>
      <c r="H351" s="5" t="s">
        <v>968</v>
      </c>
      <c r="I351" s="12"/>
      <c r="J351" s="29" t="s">
        <v>33</v>
      </c>
      <c r="K351" s="29">
        <v>1</v>
      </c>
      <c r="L351" s="29"/>
      <c r="M351" s="25" t="s">
        <v>101</v>
      </c>
      <c r="N351" s="30" t="s">
        <v>36</v>
      </c>
    </row>
    <row r="352" spans="1:14" ht="409.5">
      <c r="A352" s="4">
        <v>30</v>
      </c>
      <c r="B352" s="4" t="s">
        <v>824</v>
      </c>
      <c r="C352" s="4" t="s">
        <v>971</v>
      </c>
      <c r="D352" s="5" t="s">
        <v>972</v>
      </c>
      <c r="E352" s="5" t="s">
        <v>39</v>
      </c>
      <c r="F352" s="6" t="s">
        <v>29</v>
      </c>
      <c r="G352" s="6"/>
      <c r="H352" s="5" t="s">
        <v>973</v>
      </c>
      <c r="I352" s="12"/>
      <c r="J352" s="29" t="s">
        <v>33</v>
      </c>
      <c r="K352" s="29">
        <v>1</v>
      </c>
      <c r="L352" s="29"/>
      <c r="M352" s="25" t="s">
        <v>101</v>
      </c>
      <c r="N352" s="30" t="s">
        <v>36</v>
      </c>
    </row>
    <row r="353" spans="1:14" ht="409.5">
      <c r="A353" s="4">
        <v>30</v>
      </c>
      <c r="B353" s="4" t="s">
        <v>824</v>
      </c>
      <c r="C353" s="4" t="s">
        <v>974</v>
      </c>
      <c r="D353" s="5" t="s">
        <v>975</v>
      </c>
      <c r="E353" s="5" t="s">
        <v>39</v>
      </c>
      <c r="F353" s="6" t="s">
        <v>29</v>
      </c>
      <c r="G353" s="6"/>
      <c r="H353" s="5" t="s">
        <v>976</v>
      </c>
      <c r="I353" s="12"/>
      <c r="J353" s="29" t="s">
        <v>33</v>
      </c>
      <c r="K353" s="29">
        <v>1</v>
      </c>
      <c r="L353" s="29"/>
      <c r="M353" s="25" t="s">
        <v>101</v>
      </c>
      <c r="N353" s="30" t="s">
        <v>36</v>
      </c>
    </row>
    <row r="354" spans="1:14" ht="409.5">
      <c r="A354" s="4">
        <v>30</v>
      </c>
      <c r="B354" s="4" t="s">
        <v>824</v>
      </c>
      <c r="C354" s="4" t="s">
        <v>977</v>
      </c>
      <c r="D354" s="5" t="s">
        <v>978</v>
      </c>
      <c r="E354" s="5" t="s">
        <v>39</v>
      </c>
      <c r="F354" s="6" t="s">
        <v>29</v>
      </c>
      <c r="G354" s="6"/>
      <c r="H354" s="5" t="s">
        <v>979</v>
      </c>
      <c r="I354" s="12"/>
      <c r="J354" s="29" t="s">
        <v>33</v>
      </c>
      <c r="K354" s="29">
        <v>1</v>
      </c>
      <c r="L354" s="29"/>
      <c r="M354" s="25" t="s">
        <v>101</v>
      </c>
      <c r="N354" s="30" t="s">
        <v>36</v>
      </c>
    </row>
    <row r="355" spans="1:14" ht="409.5">
      <c r="A355" s="4">
        <v>30</v>
      </c>
      <c r="B355" s="4" t="s">
        <v>824</v>
      </c>
      <c r="C355" s="4" t="s">
        <v>980</v>
      </c>
      <c r="D355" s="5" t="s">
        <v>981</v>
      </c>
      <c r="E355" s="5" t="s">
        <v>39</v>
      </c>
      <c r="F355" s="6" t="s">
        <v>29</v>
      </c>
      <c r="G355" s="6"/>
      <c r="H355" s="5" t="s">
        <v>973</v>
      </c>
      <c r="I355" s="12"/>
      <c r="J355" s="29" t="s">
        <v>33</v>
      </c>
      <c r="K355" s="29">
        <v>1</v>
      </c>
      <c r="L355" s="29"/>
      <c r="M355" s="25" t="s">
        <v>101</v>
      </c>
      <c r="N355" s="30" t="s">
        <v>36</v>
      </c>
    </row>
    <row r="356" spans="1:14" ht="263.45">
      <c r="A356" s="37">
        <v>30</v>
      </c>
      <c r="B356" s="37" t="s">
        <v>824</v>
      </c>
      <c r="C356" s="37" t="s">
        <v>982</v>
      </c>
      <c r="D356" s="38" t="s">
        <v>983</v>
      </c>
      <c r="E356" s="38" t="s">
        <v>39</v>
      </c>
      <c r="F356" s="37" t="s">
        <v>62</v>
      </c>
      <c r="G356" s="37"/>
      <c r="H356" s="38" t="s">
        <v>984</v>
      </c>
      <c r="I356" s="39"/>
      <c r="J356" s="40" t="s">
        <v>33</v>
      </c>
      <c r="K356" s="40">
        <v>2</v>
      </c>
      <c r="L356" s="40"/>
      <c r="M356" s="39" t="s">
        <v>985</v>
      </c>
      <c r="N356" s="37" t="s">
        <v>18</v>
      </c>
    </row>
    <row r="357" spans="1:14" ht="409.5">
      <c r="A357" s="4">
        <v>30</v>
      </c>
      <c r="B357" s="4" t="s">
        <v>824</v>
      </c>
      <c r="C357" s="4" t="s">
        <v>692</v>
      </c>
      <c r="D357" s="5" t="s">
        <v>986</v>
      </c>
      <c r="E357" s="5" t="s">
        <v>39</v>
      </c>
      <c r="F357" s="4" t="s">
        <v>62</v>
      </c>
      <c r="G357" s="4"/>
      <c r="H357" s="5" t="s">
        <v>987</v>
      </c>
      <c r="I357" s="12"/>
      <c r="J357" s="29" t="s">
        <v>33</v>
      </c>
      <c r="K357" s="29">
        <v>2</v>
      </c>
      <c r="L357" s="29"/>
      <c r="M357" s="25" t="s">
        <v>985</v>
      </c>
      <c r="N357" s="30" t="s">
        <v>18</v>
      </c>
    </row>
    <row r="358" spans="1:14" ht="263.45">
      <c r="A358" s="37">
        <v>30</v>
      </c>
      <c r="B358" s="37" t="s">
        <v>824</v>
      </c>
      <c r="C358" s="37" t="s">
        <v>710</v>
      </c>
      <c r="D358" s="38" t="s">
        <v>989</v>
      </c>
      <c r="E358" s="38" t="s">
        <v>39</v>
      </c>
      <c r="F358" s="37" t="s">
        <v>62</v>
      </c>
      <c r="G358" s="37"/>
      <c r="H358" s="38" t="s">
        <v>990</v>
      </c>
      <c r="I358" s="39"/>
      <c r="J358" s="40" t="s">
        <v>33</v>
      </c>
      <c r="K358" s="40">
        <v>2</v>
      </c>
      <c r="L358" s="40"/>
      <c r="M358" s="39" t="s">
        <v>985</v>
      </c>
      <c r="N358" s="37" t="s">
        <v>18</v>
      </c>
    </row>
    <row r="359" spans="1:14" ht="409.5">
      <c r="A359" s="4">
        <v>30</v>
      </c>
      <c r="B359" s="4" t="s">
        <v>824</v>
      </c>
      <c r="C359" s="4" t="s">
        <v>713</v>
      </c>
      <c r="D359" s="5" t="s">
        <v>991</v>
      </c>
      <c r="E359" s="5" t="s">
        <v>39</v>
      </c>
      <c r="F359" s="4" t="s">
        <v>62</v>
      </c>
      <c r="G359" s="4"/>
      <c r="H359" s="5" t="s">
        <v>987</v>
      </c>
      <c r="I359" s="12"/>
      <c r="J359" s="29" t="s">
        <v>33</v>
      </c>
      <c r="K359" s="29">
        <v>2</v>
      </c>
      <c r="L359" s="29"/>
      <c r="M359" s="25" t="s">
        <v>985</v>
      </c>
      <c r="N359" s="30" t="s">
        <v>18</v>
      </c>
    </row>
    <row r="360" spans="1:14" ht="409.5">
      <c r="A360" s="4">
        <v>30</v>
      </c>
      <c r="B360" s="4" t="s">
        <v>824</v>
      </c>
      <c r="C360" s="4" t="s">
        <v>716</v>
      </c>
      <c r="D360" s="5" t="s">
        <v>992</v>
      </c>
      <c r="E360" s="5" t="s">
        <v>39</v>
      </c>
      <c r="F360" s="4" t="s">
        <v>62</v>
      </c>
      <c r="G360" s="4"/>
      <c r="H360" s="5" t="s">
        <v>987</v>
      </c>
      <c r="I360" s="12"/>
      <c r="J360" s="29" t="s">
        <v>33</v>
      </c>
      <c r="K360" s="29">
        <v>2</v>
      </c>
      <c r="L360" s="29"/>
      <c r="M360" s="25" t="s">
        <v>985</v>
      </c>
      <c r="N360" s="30" t="s">
        <v>18</v>
      </c>
    </row>
    <row r="361" spans="1:14" ht="409.5">
      <c r="A361" s="4">
        <v>31</v>
      </c>
      <c r="B361" s="4" t="s">
        <v>824</v>
      </c>
      <c r="C361" s="4" t="s">
        <v>719</v>
      </c>
      <c r="D361" s="5" t="s">
        <v>993</v>
      </c>
      <c r="E361" s="5" t="s">
        <v>39</v>
      </c>
      <c r="F361" s="4" t="s">
        <v>62</v>
      </c>
      <c r="G361" s="4"/>
      <c r="H361" s="5" t="s">
        <v>987</v>
      </c>
      <c r="I361" s="12"/>
      <c r="J361" s="29" t="s">
        <v>33</v>
      </c>
      <c r="K361" s="29">
        <v>2</v>
      </c>
      <c r="L361" s="29"/>
      <c r="M361" s="25" t="s">
        <v>985</v>
      </c>
      <c r="N361" s="30" t="s">
        <v>18</v>
      </c>
    </row>
    <row r="362" spans="1:14" ht="263.45">
      <c r="A362" s="37">
        <v>31</v>
      </c>
      <c r="B362" s="37" t="s">
        <v>824</v>
      </c>
      <c r="C362" s="37" t="s">
        <v>994</v>
      </c>
      <c r="D362" s="38" t="s">
        <v>995</v>
      </c>
      <c r="E362" s="38" t="s">
        <v>39</v>
      </c>
      <c r="F362" s="37" t="s">
        <v>62</v>
      </c>
      <c r="G362" s="37"/>
      <c r="H362" s="38" t="s">
        <v>996</v>
      </c>
      <c r="I362" s="39"/>
      <c r="J362" s="40" t="s">
        <v>33</v>
      </c>
      <c r="K362" s="40">
        <v>2</v>
      </c>
      <c r="L362" s="40"/>
      <c r="M362" s="39" t="s">
        <v>985</v>
      </c>
      <c r="N362" s="37" t="s">
        <v>18</v>
      </c>
    </row>
    <row r="363" spans="1:14" ht="409.5">
      <c r="A363" s="4">
        <v>31</v>
      </c>
      <c r="B363" s="4" t="s">
        <v>824</v>
      </c>
      <c r="C363" s="4" t="s">
        <v>997</v>
      </c>
      <c r="D363" s="5" t="s">
        <v>998</v>
      </c>
      <c r="E363" s="5" t="s">
        <v>39</v>
      </c>
      <c r="F363" s="4" t="s">
        <v>62</v>
      </c>
      <c r="G363" s="4"/>
      <c r="H363" s="5" t="s">
        <v>987</v>
      </c>
      <c r="I363" s="12"/>
      <c r="J363" s="29" t="s">
        <v>33</v>
      </c>
      <c r="K363" s="29">
        <v>2</v>
      </c>
      <c r="L363" s="29"/>
      <c r="M363" s="25" t="s">
        <v>985</v>
      </c>
      <c r="N363" s="30" t="s">
        <v>18</v>
      </c>
    </row>
    <row r="364" spans="1:14" ht="309.95">
      <c r="A364" s="4">
        <v>31</v>
      </c>
      <c r="B364" s="4" t="s">
        <v>824</v>
      </c>
      <c r="C364" s="4" t="s">
        <v>999</v>
      </c>
      <c r="D364" s="5" t="s">
        <v>1000</v>
      </c>
      <c r="E364" s="5" t="s">
        <v>39</v>
      </c>
      <c r="F364" s="4" t="s">
        <v>62</v>
      </c>
      <c r="G364" s="4"/>
      <c r="H364" s="5" t="s">
        <v>987</v>
      </c>
      <c r="I364" s="12"/>
      <c r="J364" s="29" t="s">
        <v>33</v>
      </c>
      <c r="K364" s="29">
        <v>2</v>
      </c>
      <c r="L364" s="29"/>
      <c r="M364" s="25" t="s">
        <v>985</v>
      </c>
      <c r="N364" s="30" t="s">
        <v>18</v>
      </c>
    </row>
    <row r="365" spans="1:14" ht="309.95">
      <c r="A365" s="4">
        <v>31</v>
      </c>
      <c r="B365" s="4" t="s">
        <v>824</v>
      </c>
      <c r="C365" s="4" t="s">
        <v>1001</v>
      </c>
      <c r="D365" s="5" t="s">
        <v>1002</v>
      </c>
      <c r="E365" s="5" t="s">
        <v>39</v>
      </c>
      <c r="F365" s="4" t="s">
        <v>62</v>
      </c>
      <c r="G365" s="4"/>
      <c r="H365" s="5" t="s">
        <v>987</v>
      </c>
      <c r="I365" s="12"/>
      <c r="J365" s="29" t="s">
        <v>33</v>
      </c>
      <c r="K365" s="29">
        <v>2</v>
      </c>
      <c r="L365" s="29"/>
      <c r="M365" s="25" t="s">
        <v>985</v>
      </c>
      <c r="N365" s="30" t="s">
        <v>18</v>
      </c>
    </row>
    <row r="366" spans="1:14" ht="309.95">
      <c r="A366" s="4">
        <v>31</v>
      </c>
      <c r="B366" s="4" t="s">
        <v>824</v>
      </c>
      <c r="C366" s="4" t="s">
        <v>1003</v>
      </c>
      <c r="D366" s="5" t="s">
        <v>1004</v>
      </c>
      <c r="E366" s="5" t="s">
        <v>39</v>
      </c>
      <c r="F366" s="4" t="s">
        <v>62</v>
      </c>
      <c r="G366" s="4"/>
      <c r="H366" s="5" t="s">
        <v>987</v>
      </c>
      <c r="I366" s="12"/>
      <c r="J366" s="29" t="s">
        <v>33</v>
      </c>
      <c r="K366" s="29">
        <v>2</v>
      </c>
      <c r="L366" s="29"/>
      <c r="M366" s="25" t="s">
        <v>985</v>
      </c>
      <c r="N366" s="30" t="s">
        <v>18</v>
      </c>
    </row>
    <row r="367" spans="1:14" ht="341.1">
      <c r="A367" s="4">
        <v>31</v>
      </c>
      <c r="B367" s="4" t="s">
        <v>824</v>
      </c>
      <c r="C367" s="4" t="s">
        <v>1005</v>
      </c>
      <c r="D367" s="5" t="s">
        <v>1006</v>
      </c>
      <c r="E367" s="5" t="s">
        <v>39</v>
      </c>
      <c r="F367" s="4" t="s">
        <v>62</v>
      </c>
      <c r="G367" s="4"/>
      <c r="H367" s="5" t="s">
        <v>987</v>
      </c>
      <c r="I367" s="12"/>
      <c r="J367" s="29" t="s">
        <v>33</v>
      </c>
      <c r="K367" s="29">
        <v>2</v>
      </c>
      <c r="L367" s="29"/>
      <c r="M367" s="25" t="s">
        <v>985</v>
      </c>
      <c r="N367" s="30" t="s">
        <v>18</v>
      </c>
    </row>
    <row r="368" spans="1:14" ht="263.45">
      <c r="A368" s="37">
        <v>31</v>
      </c>
      <c r="B368" s="37" t="s">
        <v>824</v>
      </c>
      <c r="C368" s="37" t="s">
        <v>1007</v>
      </c>
      <c r="D368" s="38" t="s">
        <v>1008</v>
      </c>
      <c r="E368" s="38" t="s">
        <v>39</v>
      </c>
      <c r="F368" s="37" t="s">
        <v>62</v>
      </c>
      <c r="G368" s="37"/>
      <c r="H368" s="38" t="s">
        <v>1009</v>
      </c>
      <c r="I368" s="39"/>
      <c r="J368" s="40" t="s">
        <v>33</v>
      </c>
      <c r="K368" s="40">
        <v>2</v>
      </c>
      <c r="L368" s="40"/>
      <c r="M368" s="39" t="s">
        <v>985</v>
      </c>
      <c r="N368" s="37" t="s">
        <v>18</v>
      </c>
    </row>
    <row r="369" spans="1:14" ht="356.45">
      <c r="A369" s="4">
        <v>31</v>
      </c>
      <c r="B369" s="4" t="s">
        <v>824</v>
      </c>
      <c r="C369" s="4" t="s">
        <v>1010</v>
      </c>
      <c r="D369" s="5" t="s">
        <v>1011</v>
      </c>
      <c r="E369" s="5" t="s">
        <v>39</v>
      </c>
      <c r="F369" s="4" t="s">
        <v>62</v>
      </c>
      <c r="G369" s="4"/>
      <c r="H369" s="5" t="s">
        <v>1012</v>
      </c>
      <c r="I369" s="12"/>
      <c r="J369" s="29" t="s">
        <v>33</v>
      </c>
      <c r="K369" s="29">
        <v>2</v>
      </c>
      <c r="L369" s="29"/>
      <c r="M369" s="25" t="s">
        <v>985</v>
      </c>
      <c r="N369" s="30" t="s">
        <v>18</v>
      </c>
    </row>
    <row r="370" spans="1:14" ht="409.5">
      <c r="A370" s="4">
        <v>31</v>
      </c>
      <c r="B370" s="4" t="s">
        <v>824</v>
      </c>
      <c r="C370" s="4" t="s">
        <v>1013</v>
      </c>
      <c r="D370" s="5" t="s">
        <v>1014</v>
      </c>
      <c r="E370" s="5" t="s">
        <v>39</v>
      </c>
      <c r="F370" s="4" t="s">
        <v>62</v>
      </c>
      <c r="G370" s="4"/>
      <c r="H370" s="5" t="s">
        <v>1015</v>
      </c>
      <c r="I370" s="12"/>
      <c r="J370" s="29" t="s">
        <v>33</v>
      </c>
      <c r="K370" s="29">
        <v>2</v>
      </c>
      <c r="L370" s="29"/>
      <c r="M370" s="25" t="s">
        <v>985</v>
      </c>
      <c r="N370" s="30" t="s">
        <v>18</v>
      </c>
    </row>
    <row r="371" spans="1:14" ht="409.5">
      <c r="A371" s="4">
        <v>31</v>
      </c>
      <c r="B371" s="4" t="s">
        <v>824</v>
      </c>
      <c r="C371" s="4" t="s">
        <v>1016</v>
      </c>
      <c r="D371" s="5" t="s">
        <v>1017</v>
      </c>
      <c r="E371" s="5" t="s">
        <v>39</v>
      </c>
      <c r="F371" s="4" t="s">
        <v>62</v>
      </c>
      <c r="G371" s="4"/>
      <c r="H371" s="5" t="s">
        <v>1015</v>
      </c>
      <c r="I371" s="12"/>
      <c r="J371" s="29" t="s">
        <v>33</v>
      </c>
      <c r="K371" s="29">
        <v>2</v>
      </c>
      <c r="L371" s="29"/>
      <c r="M371" s="25" t="s">
        <v>985</v>
      </c>
      <c r="N371" s="30" t="s">
        <v>18</v>
      </c>
    </row>
    <row r="372" spans="1:14" ht="409.5">
      <c r="A372" s="4">
        <v>31</v>
      </c>
      <c r="B372" s="4" t="s">
        <v>824</v>
      </c>
      <c r="C372" s="4" t="s">
        <v>1018</v>
      </c>
      <c r="D372" s="5" t="s">
        <v>1019</v>
      </c>
      <c r="E372" s="5" t="s">
        <v>39</v>
      </c>
      <c r="F372" s="4" t="s">
        <v>62</v>
      </c>
      <c r="G372" s="4"/>
      <c r="H372" s="5" t="s">
        <v>1015</v>
      </c>
      <c r="I372" s="12"/>
      <c r="J372" s="29" t="s">
        <v>33</v>
      </c>
      <c r="K372" s="29">
        <v>2</v>
      </c>
      <c r="L372" s="29"/>
      <c r="M372" s="25" t="s">
        <v>985</v>
      </c>
      <c r="N372" s="30" t="s">
        <v>18</v>
      </c>
    </row>
    <row r="373" spans="1:14" ht="409.5">
      <c r="A373" s="4">
        <v>31</v>
      </c>
      <c r="B373" s="4" t="s">
        <v>824</v>
      </c>
      <c r="C373" s="4" t="s">
        <v>1020</v>
      </c>
      <c r="D373" s="5" t="s">
        <v>1021</v>
      </c>
      <c r="E373" s="5" t="s">
        <v>39</v>
      </c>
      <c r="F373" s="4" t="s">
        <v>62</v>
      </c>
      <c r="G373" s="4"/>
      <c r="H373" s="5" t="s">
        <v>1022</v>
      </c>
      <c r="I373" s="12"/>
      <c r="J373" s="29" t="s">
        <v>33</v>
      </c>
      <c r="K373" s="29">
        <v>2</v>
      </c>
      <c r="L373" s="29"/>
      <c r="M373" s="25" t="s">
        <v>985</v>
      </c>
      <c r="N373" s="30" t="s">
        <v>18</v>
      </c>
    </row>
    <row r="374" spans="1:14" ht="263.45">
      <c r="A374" s="37">
        <v>31</v>
      </c>
      <c r="B374" s="37" t="s">
        <v>824</v>
      </c>
      <c r="C374" s="37" t="s">
        <v>1023</v>
      </c>
      <c r="D374" s="38" t="s">
        <v>1024</v>
      </c>
      <c r="E374" s="38" t="s">
        <v>39</v>
      </c>
      <c r="F374" s="37" t="s">
        <v>62</v>
      </c>
      <c r="G374" s="37"/>
      <c r="H374" s="38" t="s">
        <v>1025</v>
      </c>
      <c r="I374" s="39"/>
      <c r="J374" s="40" t="s">
        <v>33</v>
      </c>
      <c r="K374" s="40">
        <v>2</v>
      </c>
      <c r="L374" s="40"/>
      <c r="M374" s="39" t="s">
        <v>985</v>
      </c>
      <c r="N374" s="37" t="s">
        <v>18</v>
      </c>
    </row>
    <row r="375" spans="1:14" ht="402.95">
      <c r="A375" s="4">
        <v>31</v>
      </c>
      <c r="B375" s="4" t="s">
        <v>824</v>
      </c>
      <c r="C375" s="4" t="s">
        <v>1026</v>
      </c>
      <c r="D375" s="5" t="s">
        <v>1027</v>
      </c>
      <c r="E375" s="5" t="s">
        <v>39</v>
      </c>
      <c r="F375" s="4" t="s">
        <v>62</v>
      </c>
      <c r="G375" s="4"/>
      <c r="H375" s="5" t="s">
        <v>987</v>
      </c>
      <c r="I375" s="12"/>
      <c r="J375" s="29" t="s">
        <v>33</v>
      </c>
      <c r="K375" s="29">
        <v>2</v>
      </c>
      <c r="L375" s="29"/>
      <c r="M375" s="25" t="s">
        <v>985</v>
      </c>
      <c r="N375" s="30" t="s">
        <v>18</v>
      </c>
    </row>
    <row r="376" spans="1:14" ht="309.95">
      <c r="A376" s="4">
        <v>31</v>
      </c>
      <c r="B376" s="4" t="s">
        <v>824</v>
      </c>
      <c r="C376" s="4" t="s">
        <v>1028</v>
      </c>
      <c r="D376" s="5" t="s">
        <v>1029</v>
      </c>
      <c r="E376" s="5" t="s">
        <v>39</v>
      </c>
      <c r="F376" s="4" t="s">
        <v>62</v>
      </c>
      <c r="G376" s="4"/>
      <c r="H376" s="5" t="s">
        <v>987</v>
      </c>
      <c r="I376" s="12"/>
      <c r="J376" s="29" t="s">
        <v>33</v>
      </c>
      <c r="K376" s="29">
        <v>2</v>
      </c>
      <c r="L376" s="29"/>
      <c r="M376" s="25" t="s">
        <v>985</v>
      </c>
      <c r="N376" s="30" t="s">
        <v>18</v>
      </c>
    </row>
    <row r="377" spans="1:14" ht="309.95">
      <c r="A377" s="4">
        <v>31</v>
      </c>
      <c r="B377" s="4" t="s">
        <v>824</v>
      </c>
      <c r="C377" s="4" t="s">
        <v>1030</v>
      </c>
      <c r="D377" s="5" t="s">
        <v>1031</v>
      </c>
      <c r="E377" s="5" t="s">
        <v>39</v>
      </c>
      <c r="F377" s="4" t="s">
        <v>62</v>
      </c>
      <c r="G377" s="4"/>
      <c r="H377" s="5" t="s">
        <v>987</v>
      </c>
      <c r="I377" s="12"/>
      <c r="J377" s="29" t="s">
        <v>33</v>
      </c>
      <c r="K377" s="29">
        <v>2</v>
      </c>
      <c r="L377" s="29"/>
      <c r="M377" s="25" t="s">
        <v>985</v>
      </c>
      <c r="N377" s="30" t="s">
        <v>18</v>
      </c>
    </row>
    <row r="378" spans="1:14" ht="263.45">
      <c r="A378" s="37">
        <v>31</v>
      </c>
      <c r="B378" s="37" t="s">
        <v>824</v>
      </c>
      <c r="C378" s="37" t="s">
        <v>1032</v>
      </c>
      <c r="D378" s="38" t="s">
        <v>1033</v>
      </c>
      <c r="E378" s="38" t="s">
        <v>39</v>
      </c>
      <c r="F378" s="37" t="s">
        <v>62</v>
      </c>
      <c r="G378" s="37"/>
      <c r="H378" s="38" t="s">
        <v>1034</v>
      </c>
      <c r="I378" s="39"/>
      <c r="J378" s="40" t="s">
        <v>33</v>
      </c>
      <c r="K378" s="40">
        <v>2</v>
      </c>
      <c r="L378" s="40"/>
      <c r="M378" s="39" t="s">
        <v>985</v>
      </c>
      <c r="N378" s="37" t="s">
        <v>18</v>
      </c>
    </row>
    <row r="379" spans="1:14" ht="409.5">
      <c r="A379" s="4">
        <v>31</v>
      </c>
      <c r="B379" s="4" t="s">
        <v>824</v>
      </c>
      <c r="C379" s="4" t="s">
        <v>1035</v>
      </c>
      <c r="D379" s="5" t="s">
        <v>1036</v>
      </c>
      <c r="E379" s="5" t="s">
        <v>39</v>
      </c>
      <c r="F379" s="4" t="s">
        <v>62</v>
      </c>
      <c r="G379" s="4"/>
      <c r="H379" s="5" t="s">
        <v>987</v>
      </c>
      <c r="I379" s="12"/>
      <c r="J379" s="29" t="s">
        <v>33</v>
      </c>
      <c r="K379" s="29">
        <v>2</v>
      </c>
      <c r="L379" s="29"/>
      <c r="M379" s="25" t="s">
        <v>985</v>
      </c>
      <c r="N379" s="30" t="s">
        <v>18</v>
      </c>
    </row>
    <row r="380" spans="1:14" ht="309.95">
      <c r="A380" s="4">
        <v>31</v>
      </c>
      <c r="B380" s="4" t="s">
        <v>824</v>
      </c>
      <c r="C380" s="4" t="s">
        <v>1037</v>
      </c>
      <c r="D380" s="5" t="s">
        <v>1038</v>
      </c>
      <c r="E380" s="5" t="s">
        <v>39</v>
      </c>
      <c r="F380" s="4" t="s">
        <v>62</v>
      </c>
      <c r="G380" s="4"/>
      <c r="H380" s="5" t="s">
        <v>987</v>
      </c>
      <c r="I380" s="12"/>
      <c r="J380" s="29" t="s">
        <v>33</v>
      </c>
      <c r="K380" s="29">
        <v>2</v>
      </c>
      <c r="L380" s="29"/>
      <c r="M380" s="25" t="s">
        <v>985</v>
      </c>
      <c r="N380" s="30" t="s">
        <v>18</v>
      </c>
    </row>
    <row r="381" spans="1:14" ht="309.95">
      <c r="A381" s="4">
        <v>31</v>
      </c>
      <c r="B381" s="4" t="s">
        <v>824</v>
      </c>
      <c r="C381" s="4" t="s">
        <v>1039</v>
      </c>
      <c r="D381" s="5" t="s">
        <v>1040</v>
      </c>
      <c r="E381" s="5" t="s">
        <v>39</v>
      </c>
      <c r="F381" s="4" t="s">
        <v>62</v>
      </c>
      <c r="G381" s="4"/>
      <c r="H381" s="5" t="s">
        <v>987</v>
      </c>
      <c r="I381" s="12"/>
      <c r="J381" s="29" t="s">
        <v>33</v>
      </c>
      <c r="K381" s="29">
        <v>2</v>
      </c>
      <c r="L381" s="29"/>
      <c r="M381" s="25" t="s">
        <v>985</v>
      </c>
      <c r="N381" s="30" t="s">
        <v>18</v>
      </c>
    </row>
    <row r="382" spans="1:14" ht="409.5">
      <c r="A382" s="4">
        <v>32</v>
      </c>
      <c r="B382" s="4" t="s">
        <v>18</v>
      </c>
      <c r="C382" s="4" t="s">
        <v>18</v>
      </c>
      <c r="D382" s="5" t="s">
        <v>1041</v>
      </c>
      <c r="E382" s="5" t="s">
        <v>61</v>
      </c>
      <c r="F382" s="4" t="s">
        <v>62</v>
      </c>
      <c r="G382" s="4"/>
      <c r="H382" s="5" t="s">
        <v>1042</v>
      </c>
      <c r="I382" s="12"/>
      <c r="J382" s="29"/>
      <c r="K382" s="29">
        <v>3</v>
      </c>
      <c r="L382" s="29"/>
      <c r="M382" s="25"/>
      <c r="N382" s="30" t="s">
        <v>568</v>
      </c>
    </row>
    <row r="383" spans="1:14" ht="409.5">
      <c r="A383" s="37">
        <v>32</v>
      </c>
      <c r="B383" s="37" t="s">
        <v>1043</v>
      </c>
      <c r="C383" s="37" t="s">
        <v>79</v>
      </c>
      <c r="D383" s="38" t="s">
        <v>1044</v>
      </c>
      <c r="E383" s="38" t="s">
        <v>61</v>
      </c>
      <c r="F383" s="37" t="s">
        <v>116</v>
      </c>
      <c r="G383" s="37"/>
      <c r="H383" s="38" t="s">
        <v>1045</v>
      </c>
      <c r="I383" s="39"/>
      <c r="J383" s="40" t="s">
        <v>1046</v>
      </c>
      <c r="K383" s="40">
        <v>2</v>
      </c>
      <c r="L383" s="40"/>
      <c r="M383" s="39" t="s">
        <v>1047</v>
      </c>
      <c r="N383" s="37" t="s">
        <v>36</v>
      </c>
    </row>
    <row r="384" spans="1:14" ht="409.5">
      <c r="A384" s="4">
        <v>32</v>
      </c>
      <c r="B384" s="4" t="s">
        <v>1043</v>
      </c>
      <c r="C384" s="4" t="s">
        <v>565</v>
      </c>
      <c r="D384" s="5" t="s">
        <v>1048</v>
      </c>
      <c r="E384" s="5" t="s">
        <v>61</v>
      </c>
      <c r="F384" s="4" t="s">
        <v>116</v>
      </c>
      <c r="G384" s="4"/>
      <c r="H384" s="5" t="s">
        <v>1049</v>
      </c>
      <c r="I384" s="12"/>
      <c r="J384" s="29" t="s">
        <v>1046</v>
      </c>
      <c r="K384" s="29">
        <v>2</v>
      </c>
      <c r="L384" s="29"/>
      <c r="M384" s="25" t="s">
        <v>1047</v>
      </c>
      <c r="N384" s="30" t="s">
        <v>36</v>
      </c>
    </row>
    <row r="385" spans="1:14" ht="409.5">
      <c r="A385" s="4">
        <v>32</v>
      </c>
      <c r="B385" s="4" t="s">
        <v>1043</v>
      </c>
      <c r="C385" s="4" t="s">
        <v>1050</v>
      </c>
      <c r="D385" s="5" t="s">
        <v>1051</v>
      </c>
      <c r="E385" s="5" t="s">
        <v>61</v>
      </c>
      <c r="F385" s="4" t="s">
        <v>116</v>
      </c>
      <c r="G385" s="4"/>
      <c r="H385" s="5" t="s">
        <v>1049</v>
      </c>
      <c r="I385" s="12"/>
      <c r="J385" s="29" t="s">
        <v>1046</v>
      </c>
      <c r="K385" s="29">
        <v>2</v>
      </c>
      <c r="L385" s="29"/>
      <c r="M385" s="25" t="s">
        <v>1047</v>
      </c>
      <c r="N385" s="30" t="s">
        <v>36</v>
      </c>
    </row>
    <row r="386" spans="1:14" ht="409.5">
      <c r="A386" s="4">
        <v>32</v>
      </c>
      <c r="B386" s="4" t="s">
        <v>1043</v>
      </c>
      <c r="C386" s="4" t="s">
        <v>757</v>
      </c>
      <c r="D386" s="5" t="s">
        <v>1052</v>
      </c>
      <c r="E386" s="5" t="s">
        <v>61</v>
      </c>
      <c r="F386" s="4" t="s">
        <v>116</v>
      </c>
      <c r="G386" s="4"/>
      <c r="H386" s="5" t="s">
        <v>1049</v>
      </c>
      <c r="I386" s="12"/>
      <c r="J386" s="29" t="s">
        <v>1046</v>
      </c>
      <c r="K386" s="29">
        <v>2</v>
      </c>
      <c r="L386" s="29"/>
      <c r="M386" s="25" t="s">
        <v>1047</v>
      </c>
      <c r="N386" s="30" t="s">
        <v>36</v>
      </c>
    </row>
    <row r="387" spans="1:14" ht="409.5">
      <c r="A387" s="4">
        <v>32</v>
      </c>
      <c r="B387" s="4" t="s">
        <v>1043</v>
      </c>
      <c r="C387" s="4" t="s">
        <v>761</v>
      </c>
      <c r="D387" s="5" t="s">
        <v>1053</v>
      </c>
      <c r="E387" s="5" t="s">
        <v>61</v>
      </c>
      <c r="F387" s="4" t="s">
        <v>116</v>
      </c>
      <c r="G387" s="4"/>
      <c r="H387" s="5" t="s">
        <v>1049</v>
      </c>
      <c r="I387" s="12"/>
      <c r="J387" s="29" t="s">
        <v>1046</v>
      </c>
      <c r="K387" s="29">
        <v>2</v>
      </c>
      <c r="L387" s="29"/>
      <c r="M387" s="25" t="s">
        <v>1047</v>
      </c>
      <c r="N387" s="30" t="s">
        <v>36</v>
      </c>
    </row>
    <row r="388" spans="1:14" ht="409.5">
      <c r="A388" s="4">
        <v>32</v>
      </c>
      <c r="B388" s="4" t="s">
        <v>1043</v>
      </c>
      <c r="C388" s="4" t="s">
        <v>1054</v>
      </c>
      <c r="D388" s="5" t="s">
        <v>1055</v>
      </c>
      <c r="E388" s="5" t="s">
        <v>61</v>
      </c>
      <c r="F388" s="4" t="s">
        <v>116</v>
      </c>
      <c r="G388" s="4"/>
      <c r="H388" s="5" t="s">
        <v>1049</v>
      </c>
      <c r="I388" s="12"/>
      <c r="J388" s="29" t="s">
        <v>1046</v>
      </c>
      <c r="K388" s="29">
        <v>2</v>
      </c>
      <c r="L388" s="29"/>
      <c r="M388" s="25" t="s">
        <v>1047</v>
      </c>
      <c r="N388" s="30" t="s">
        <v>36</v>
      </c>
    </row>
    <row r="389" spans="1:14" ht="279">
      <c r="A389" s="4">
        <v>32</v>
      </c>
      <c r="B389" s="4" t="s">
        <v>1043</v>
      </c>
      <c r="C389" s="4" t="s">
        <v>1056</v>
      </c>
      <c r="D389" s="5" t="s">
        <v>1057</v>
      </c>
      <c r="E389" s="5" t="s">
        <v>39</v>
      </c>
      <c r="F389" s="31" t="s">
        <v>29</v>
      </c>
      <c r="G389" s="31"/>
      <c r="H389" s="5" t="s">
        <v>1058</v>
      </c>
      <c r="I389" s="12"/>
      <c r="J389" s="29" t="s">
        <v>33</v>
      </c>
      <c r="K389" s="29">
        <v>1</v>
      </c>
      <c r="L389" s="29"/>
      <c r="M389" s="25" t="s">
        <v>81</v>
      </c>
      <c r="N389" s="30" t="s">
        <v>36</v>
      </c>
    </row>
    <row r="390" spans="1:14" ht="356.45">
      <c r="A390" s="4">
        <v>32</v>
      </c>
      <c r="B390" s="4" t="s">
        <v>1043</v>
      </c>
      <c r="C390" s="4" t="s">
        <v>575</v>
      </c>
      <c r="D390" s="5" t="s">
        <v>1059</v>
      </c>
      <c r="E390" s="5" t="s">
        <v>39</v>
      </c>
      <c r="F390" s="31" t="s">
        <v>29</v>
      </c>
      <c r="G390" s="31"/>
      <c r="H390" s="5" t="s">
        <v>1060</v>
      </c>
      <c r="I390" s="12"/>
      <c r="J390" s="29" t="s">
        <v>33</v>
      </c>
      <c r="K390" s="29">
        <v>1</v>
      </c>
      <c r="L390" s="29"/>
      <c r="M390" s="25" t="s">
        <v>81</v>
      </c>
      <c r="N390" s="30" t="s">
        <v>36</v>
      </c>
    </row>
    <row r="391" spans="1:14" ht="356.45">
      <c r="A391" s="4">
        <v>32</v>
      </c>
      <c r="B391" s="4" t="s">
        <v>1043</v>
      </c>
      <c r="C391" s="4" t="s">
        <v>577</v>
      </c>
      <c r="D391" s="5" t="s">
        <v>1061</v>
      </c>
      <c r="E391" s="5" t="s">
        <v>39</v>
      </c>
      <c r="F391" s="31" t="s">
        <v>29</v>
      </c>
      <c r="G391" s="31"/>
      <c r="H391" s="5" t="s">
        <v>1060</v>
      </c>
      <c r="I391" s="12"/>
      <c r="J391" s="29" t="s">
        <v>33</v>
      </c>
      <c r="K391" s="29">
        <v>1</v>
      </c>
      <c r="L391" s="29"/>
      <c r="M391" s="25" t="s">
        <v>81</v>
      </c>
      <c r="N391" s="30" t="s">
        <v>36</v>
      </c>
    </row>
    <row r="392" spans="1:14" ht="356.45">
      <c r="A392" s="4">
        <v>32</v>
      </c>
      <c r="B392" s="4" t="s">
        <v>1043</v>
      </c>
      <c r="C392" s="4" t="s">
        <v>579</v>
      </c>
      <c r="D392" s="5" t="s">
        <v>1062</v>
      </c>
      <c r="E392" s="5" t="s">
        <v>39</v>
      </c>
      <c r="F392" s="31" t="s">
        <v>29</v>
      </c>
      <c r="G392" s="31"/>
      <c r="H392" s="5" t="s">
        <v>1060</v>
      </c>
      <c r="I392" s="12"/>
      <c r="J392" s="29" t="s">
        <v>33</v>
      </c>
      <c r="K392" s="29">
        <v>1</v>
      </c>
      <c r="L392" s="29"/>
      <c r="M392" s="25" t="s">
        <v>81</v>
      </c>
      <c r="N392" s="30" t="s">
        <v>36</v>
      </c>
    </row>
    <row r="393" spans="1:14" ht="409.5">
      <c r="A393" s="37">
        <v>33</v>
      </c>
      <c r="B393" s="37" t="s">
        <v>1043</v>
      </c>
      <c r="C393" s="37" t="s">
        <v>1063</v>
      </c>
      <c r="D393" s="38" t="s">
        <v>1064</v>
      </c>
      <c r="E393" s="38" t="s">
        <v>425</v>
      </c>
      <c r="F393" s="37" t="s">
        <v>116</v>
      </c>
      <c r="G393" s="37"/>
      <c r="H393" s="38" t="s">
        <v>1065</v>
      </c>
      <c r="I393" s="39"/>
      <c r="J393" s="40" t="s">
        <v>1046</v>
      </c>
      <c r="K393" s="40">
        <v>2</v>
      </c>
      <c r="L393" s="40"/>
      <c r="M393" s="39" t="s">
        <v>1066</v>
      </c>
      <c r="N393" s="37" t="s">
        <v>36</v>
      </c>
    </row>
    <row r="394" spans="1:14" ht="409.5">
      <c r="A394" s="4">
        <v>33</v>
      </c>
      <c r="B394" s="4" t="s">
        <v>1043</v>
      </c>
      <c r="C394" s="4" t="s">
        <v>582</v>
      </c>
      <c r="D394" s="5" t="s">
        <v>1067</v>
      </c>
      <c r="E394" s="5" t="s">
        <v>425</v>
      </c>
      <c r="F394" s="4" t="s">
        <v>116</v>
      </c>
      <c r="G394" s="4"/>
      <c r="H394" s="5" t="s">
        <v>1068</v>
      </c>
      <c r="I394" s="12"/>
      <c r="J394" s="29" t="s">
        <v>1046</v>
      </c>
      <c r="K394" s="29">
        <v>2</v>
      </c>
      <c r="L394" s="29"/>
      <c r="M394" s="25" t="s">
        <v>1066</v>
      </c>
      <c r="N394" s="30" t="s">
        <v>36</v>
      </c>
    </row>
    <row r="395" spans="1:14" ht="409.5">
      <c r="A395" s="4">
        <v>33</v>
      </c>
      <c r="B395" s="4" t="s">
        <v>1043</v>
      </c>
      <c r="C395" s="4" t="s">
        <v>589</v>
      </c>
      <c r="D395" s="5" t="s">
        <v>1069</v>
      </c>
      <c r="E395" s="5" t="s">
        <v>425</v>
      </c>
      <c r="F395" s="4" t="s">
        <v>116</v>
      </c>
      <c r="G395" s="4"/>
      <c r="H395" s="5" t="s">
        <v>1068</v>
      </c>
      <c r="I395" s="12"/>
      <c r="J395" s="29" t="s">
        <v>1046</v>
      </c>
      <c r="K395" s="29">
        <v>2</v>
      </c>
      <c r="L395" s="29"/>
      <c r="M395" s="25" t="s">
        <v>1066</v>
      </c>
      <c r="N395" s="30" t="s">
        <v>36</v>
      </c>
    </row>
    <row r="396" spans="1:14" ht="409.5">
      <c r="A396" s="4">
        <v>33</v>
      </c>
      <c r="B396" s="4" t="s">
        <v>1043</v>
      </c>
      <c r="C396" s="4" t="s">
        <v>158</v>
      </c>
      <c r="D396" s="5" t="s">
        <v>1070</v>
      </c>
      <c r="E396" s="5" t="s">
        <v>425</v>
      </c>
      <c r="F396" s="4" t="s">
        <v>116</v>
      </c>
      <c r="G396" s="4"/>
      <c r="H396" s="5" t="s">
        <v>1068</v>
      </c>
      <c r="I396" s="12"/>
      <c r="J396" s="29" t="s">
        <v>1046</v>
      </c>
      <c r="K396" s="29">
        <v>2</v>
      </c>
      <c r="L396" s="29"/>
      <c r="M396" s="25" t="s">
        <v>1066</v>
      </c>
      <c r="N396" s="30" t="s">
        <v>36</v>
      </c>
    </row>
    <row r="397" spans="1:14" ht="409.5">
      <c r="A397" s="4">
        <v>33</v>
      </c>
      <c r="B397" s="4" t="s">
        <v>1043</v>
      </c>
      <c r="C397" s="4" t="s">
        <v>1071</v>
      </c>
      <c r="D397" s="5" t="s">
        <v>1072</v>
      </c>
      <c r="E397" s="5" t="s">
        <v>425</v>
      </c>
      <c r="F397" s="4" t="s">
        <v>116</v>
      </c>
      <c r="G397" s="4"/>
      <c r="H397" s="5" t="s">
        <v>1068</v>
      </c>
      <c r="I397" s="12"/>
      <c r="J397" s="29" t="s">
        <v>1046</v>
      </c>
      <c r="K397" s="29">
        <v>2</v>
      </c>
      <c r="L397" s="29"/>
      <c r="M397" s="25" t="s">
        <v>1066</v>
      </c>
      <c r="N397" s="30" t="s">
        <v>36</v>
      </c>
    </row>
    <row r="398" spans="1:14" ht="409.5">
      <c r="A398" s="4">
        <v>33</v>
      </c>
      <c r="B398" s="4" t="s">
        <v>1043</v>
      </c>
      <c r="C398" s="4" t="s">
        <v>591</v>
      </c>
      <c r="D398" s="5" t="s">
        <v>1073</v>
      </c>
      <c r="E398" s="5" t="s">
        <v>425</v>
      </c>
      <c r="F398" s="4" t="s">
        <v>116</v>
      </c>
      <c r="G398" s="4"/>
      <c r="H398" s="5" t="s">
        <v>1068</v>
      </c>
      <c r="I398" s="12"/>
      <c r="J398" s="29" t="s">
        <v>1046</v>
      </c>
      <c r="K398" s="29">
        <v>2</v>
      </c>
      <c r="L398" s="29"/>
      <c r="M398" s="25" t="s">
        <v>1066</v>
      </c>
      <c r="N398" s="30" t="s">
        <v>36</v>
      </c>
    </row>
    <row r="399" spans="1:14" ht="341.1">
      <c r="A399" s="37">
        <v>33</v>
      </c>
      <c r="B399" s="37" t="s">
        <v>1043</v>
      </c>
      <c r="C399" s="37" t="s">
        <v>1074</v>
      </c>
      <c r="D399" s="38" t="s">
        <v>1075</v>
      </c>
      <c r="E399" s="38" t="s">
        <v>39</v>
      </c>
      <c r="F399" s="37" t="s">
        <v>29</v>
      </c>
      <c r="G399" s="37"/>
      <c r="H399" s="38" t="s">
        <v>1076</v>
      </c>
      <c r="I399" s="39"/>
      <c r="J399" s="40" t="s">
        <v>33</v>
      </c>
      <c r="K399" s="40">
        <v>1</v>
      </c>
      <c r="L399" s="40"/>
      <c r="M399" s="39" t="s">
        <v>101</v>
      </c>
      <c r="N399" s="37" t="s">
        <v>36</v>
      </c>
    </row>
    <row r="400" spans="1:14" ht="409.5">
      <c r="A400" s="4">
        <v>33</v>
      </c>
      <c r="B400" s="4" t="s">
        <v>1043</v>
      </c>
      <c r="C400" s="4" t="s">
        <v>160</v>
      </c>
      <c r="D400" s="5" t="s">
        <v>1077</v>
      </c>
      <c r="E400" s="5" t="s">
        <v>39</v>
      </c>
      <c r="F400" s="4" t="s">
        <v>29</v>
      </c>
      <c r="G400" s="4"/>
      <c r="H400" s="5" t="s">
        <v>1078</v>
      </c>
      <c r="I400" s="12"/>
      <c r="J400" s="29" t="s">
        <v>33</v>
      </c>
      <c r="K400" s="29">
        <v>1</v>
      </c>
      <c r="L400" s="29"/>
      <c r="M400" s="25" t="s">
        <v>101</v>
      </c>
      <c r="N400" s="30" t="s">
        <v>36</v>
      </c>
    </row>
    <row r="401" spans="1:14" ht="409.5">
      <c r="A401" s="4">
        <v>33</v>
      </c>
      <c r="B401" s="4" t="s">
        <v>1043</v>
      </c>
      <c r="C401" s="4" t="s">
        <v>604</v>
      </c>
      <c r="D401" s="5" t="s">
        <v>1079</v>
      </c>
      <c r="E401" s="5" t="s">
        <v>39</v>
      </c>
      <c r="F401" s="4" t="s">
        <v>29</v>
      </c>
      <c r="G401" s="4"/>
      <c r="H401" s="5" t="s">
        <v>56</v>
      </c>
      <c r="I401" s="12"/>
      <c r="J401" s="29" t="s">
        <v>33</v>
      </c>
      <c r="K401" s="29">
        <v>1</v>
      </c>
      <c r="L401" s="29"/>
      <c r="M401" s="25" t="s">
        <v>101</v>
      </c>
      <c r="N401" s="30" t="s">
        <v>36</v>
      </c>
    </row>
    <row r="402" spans="1:14" ht="409.5">
      <c r="A402" s="4">
        <v>33</v>
      </c>
      <c r="B402" s="4" t="s">
        <v>1043</v>
      </c>
      <c r="C402" s="4" t="s">
        <v>611</v>
      </c>
      <c r="D402" s="5" t="s">
        <v>1080</v>
      </c>
      <c r="E402" s="5" t="s">
        <v>39</v>
      </c>
      <c r="F402" s="4" t="s">
        <v>29</v>
      </c>
      <c r="G402" s="4"/>
      <c r="H402" s="5" t="s">
        <v>56</v>
      </c>
      <c r="I402" s="12"/>
      <c r="J402" s="29" t="s">
        <v>33</v>
      </c>
      <c r="K402" s="29">
        <v>1</v>
      </c>
      <c r="L402" s="29"/>
      <c r="M402" s="25" t="s">
        <v>101</v>
      </c>
      <c r="N402" s="30" t="s">
        <v>36</v>
      </c>
    </row>
    <row r="403" spans="1:14" ht="372">
      <c r="A403" s="4">
        <v>33</v>
      </c>
      <c r="B403" s="4" t="s">
        <v>1043</v>
      </c>
      <c r="C403" s="4" t="s">
        <v>616</v>
      </c>
      <c r="D403" s="5" t="s">
        <v>1081</v>
      </c>
      <c r="E403" s="5" t="s">
        <v>39</v>
      </c>
      <c r="F403" s="4" t="s">
        <v>29</v>
      </c>
      <c r="G403" s="4"/>
      <c r="H403" s="5" t="s">
        <v>56</v>
      </c>
      <c r="I403" s="12"/>
      <c r="J403" s="29" t="s">
        <v>33</v>
      </c>
      <c r="K403" s="29">
        <v>1</v>
      </c>
      <c r="L403" s="29"/>
      <c r="M403" s="25" t="s">
        <v>101</v>
      </c>
      <c r="N403" s="30" t="s">
        <v>36</v>
      </c>
    </row>
    <row r="404" spans="1:14" ht="341.1">
      <c r="A404" s="4">
        <v>33</v>
      </c>
      <c r="B404" s="4" t="s">
        <v>1043</v>
      </c>
      <c r="C404" s="4" t="s">
        <v>618</v>
      </c>
      <c r="D404" s="5" t="s">
        <v>1082</v>
      </c>
      <c r="E404" s="5" t="s">
        <v>39</v>
      </c>
      <c r="F404" s="4" t="s">
        <v>29</v>
      </c>
      <c r="G404" s="4"/>
      <c r="H404" s="5" t="s">
        <v>56</v>
      </c>
      <c r="I404" s="12"/>
      <c r="J404" s="29" t="s">
        <v>33</v>
      </c>
      <c r="K404" s="29">
        <v>1</v>
      </c>
      <c r="L404" s="29"/>
      <c r="M404" s="25" t="s">
        <v>101</v>
      </c>
      <c r="N404" s="30" t="s">
        <v>36</v>
      </c>
    </row>
    <row r="405" spans="1:14" ht="341.1">
      <c r="A405" s="4">
        <v>33</v>
      </c>
      <c r="B405" s="4" t="s">
        <v>1043</v>
      </c>
      <c r="C405" s="4" t="s">
        <v>620</v>
      </c>
      <c r="D405" s="5" t="s">
        <v>1083</v>
      </c>
      <c r="E405" s="5" t="s">
        <v>39</v>
      </c>
      <c r="F405" s="4" t="s">
        <v>29</v>
      </c>
      <c r="G405" s="4"/>
      <c r="H405" s="5" t="s">
        <v>56</v>
      </c>
      <c r="I405" s="12"/>
      <c r="J405" s="29" t="s">
        <v>33</v>
      </c>
      <c r="K405" s="29">
        <v>1</v>
      </c>
      <c r="L405" s="29"/>
      <c r="M405" s="25" t="s">
        <v>101</v>
      </c>
      <c r="N405" s="30" t="s">
        <v>36</v>
      </c>
    </row>
    <row r="406" spans="1:14" ht="341.1">
      <c r="A406" s="4">
        <v>33</v>
      </c>
      <c r="B406" s="4" t="s">
        <v>1043</v>
      </c>
      <c r="C406" s="4" t="s">
        <v>622</v>
      </c>
      <c r="D406" s="5" t="s">
        <v>1084</v>
      </c>
      <c r="E406" s="5" t="s">
        <v>39</v>
      </c>
      <c r="F406" s="4" t="s">
        <v>29</v>
      </c>
      <c r="G406" s="4"/>
      <c r="H406" s="5" t="s">
        <v>56</v>
      </c>
      <c r="I406" s="12"/>
      <c r="J406" s="29" t="s">
        <v>33</v>
      </c>
      <c r="K406" s="29">
        <v>1</v>
      </c>
      <c r="L406" s="29"/>
      <c r="M406" s="25" t="s">
        <v>101</v>
      </c>
      <c r="N406" s="30" t="s">
        <v>36</v>
      </c>
    </row>
    <row r="407" spans="1:14" ht="341.1">
      <c r="A407" s="4">
        <v>33</v>
      </c>
      <c r="B407" s="4" t="s">
        <v>1043</v>
      </c>
      <c r="C407" s="4" t="s">
        <v>625</v>
      </c>
      <c r="D407" s="5" t="s">
        <v>1085</v>
      </c>
      <c r="E407" s="5" t="s">
        <v>39</v>
      </c>
      <c r="F407" s="4" t="s">
        <v>29</v>
      </c>
      <c r="G407" s="4"/>
      <c r="H407" s="5" t="s">
        <v>56</v>
      </c>
      <c r="I407" s="12"/>
      <c r="J407" s="29" t="s">
        <v>33</v>
      </c>
      <c r="K407" s="29">
        <v>1</v>
      </c>
      <c r="L407" s="29"/>
      <c r="M407" s="25" t="s">
        <v>101</v>
      </c>
      <c r="N407" s="30" t="s">
        <v>36</v>
      </c>
    </row>
    <row r="408" spans="1:14" ht="341.1">
      <c r="A408" s="4">
        <v>33</v>
      </c>
      <c r="B408" s="4" t="s">
        <v>1043</v>
      </c>
      <c r="C408" s="4" t="s">
        <v>1086</v>
      </c>
      <c r="D408" s="5" t="s">
        <v>1087</v>
      </c>
      <c r="E408" s="5" t="s">
        <v>39</v>
      </c>
      <c r="F408" s="4" t="s">
        <v>29</v>
      </c>
      <c r="G408" s="4"/>
      <c r="H408" s="5" t="s">
        <v>56</v>
      </c>
      <c r="I408" s="12"/>
      <c r="J408" s="29" t="s">
        <v>33</v>
      </c>
      <c r="K408" s="29">
        <v>1</v>
      </c>
      <c r="L408" s="29"/>
      <c r="M408" s="25" t="s">
        <v>101</v>
      </c>
      <c r="N408" s="30" t="s">
        <v>36</v>
      </c>
    </row>
    <row r="409" spans="1:14" ht="341.1">
      <c r="A409" s="4">
        <v>33</v>
      </c>
      <c r="B409" s="4" t="s">
        <v>1043</v>
      </c>
      <c r="C409" s="4" t="s">
        <v>1088</v>
      </c>
      <c r="D409" s="5" t="s">
        <v>1089</v>
      </c>
      <c r="E409" s="5" t="s">
        <v>39</v>
      </c>
      <c r="F409" s="4" t="s">
        <v>29</v>
      </c>
      <c r="G409" s="4"/>
      <c r="H409" s="5" t="s">
        <v>56</v>
      </c>
      <c r="I409" s="12"/>
      <c r="J409" s="29" t="s">
        <v>33</v>
      </c>
      <c r="K409" s="29">
        <v>1</v>
      </c>
      <c r="L409" s="29"/>
      <c r="M409" s="25" t="s">
        <v>101</v>
      </c>
      <c r="N409" s="30" t="s">
        <v>36</v>
      </c>
    </row>
    <row r="410" spans="1:14" ht="341.1">
      <c r="A410" s="4">
        <v>33</v>
      </c>
      <c r="B410" s="4" t="s">
        <v>1043</v>
      </c>
      <c r="C410" s="4" t="s">
        <v>1090</v>
      </c>
      <c r="D410" s="5" t="s">
        <v>1091</v>
      </c>
      <c r="E410" s="5" t="s">
        <v>39</v>
      </c>
      <c r="F410" s="4" t="s">
        <v>29</v>
      </c>
      <c r="G410" s="4"/>
      <c r="H410" s="5" t="s">
        <v>56</v>
      </c>
      <c r="I410" s="12"/>
      <c r="J410" s="29" t="s">
        <v>33</v>
      </c>
      <c r="K410" s="29">
        <v>1</v>
      </c>
      <c r="L410" s="29"/>
      <c r="M410" s="25" t="s">
        <v>101</v>
      </c>
      <c r="N410" s="30" t="s">
        <v>36</v>
      </c>
    </row>
    <row r="411" spans="1:14" ht="341.1">
      <c r="A411" s="4">
        <v>33</v>
      </c>
      <c r="B411" s="4" t="s">
        <v>1043</v>
      </c>
      <c r="C411" s="4" t="s">
        <v>1092</v>
      </c>
      <c r="D411" s="5" t="s">
        <v>1093</v>
      </c>
      <c r="E411" s="5" t="s">
        <v>39</v>
      </c>
      <c r="F411" s="4" t="s">
        <v>29</v>
      </c>
      <c r="G411" s="4"/>
      <c r="H411" s="5" t="s">
        <v>56</v>
      </c>
      <c r="I411" s="12"/>
      <c r="J411" s="29" t="s">
        <v>33</v>
      </c>
      <c r="K411" s="29">
        <v>1</v>
      </c>
      <c r="L411" s="29"/>
      <c r="M411" s="25" t="s">
        <v>101</v>
      </c>
      <c r="N411" s="30" t="s">
        <v>36</v>
      </c>
    </row>
    <row r="412" spans="1:14" ht="409.5">
      <c r="A412" s="4">
        <v>33</v>
      </c>
      <c r="B412" s="4" t="s">
        <v>1043</v>
      </c>
      <c r="C412" s="4" t="s">
        <v>1094</v>
      </c>
      <c r="D412" s="5" t="s">
        <v>1095</v>
      </c>
      <c r="E412" s="5" t="s">
        <v>39</v>
      </c>
      <c r="F412" s="4" t="s">
        <v>29</v>
      </c>
      <c r="G412" s="4"/>
      <c r="H412" s="5" t="s">
        <v>56</v>
      </c>
      <c r="I412" s="12"/>
      <c r="J412" s="29" t="s">
        <v>33</v>
      </c>
      <c r="K412" s="29">
        <v>1</v>
      </c>
      <c r="L412" s="29"/>
      <c r="M412" s="25" t="s">
        <v>101</v>
      </c>
      <c r="N412" s="30" t="s">
        <v>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BD4C89EF917F4F9D920659C7CD8F94" ma:contentTypeVersion="21" ma:contentTypeDescription="Create a new document." ma:contentTypeScope="" ma:versionID="005dd6e48836ccf5e5bb5ed14f6b8e73">
  <xsd:schema xmlns:xsd="http://www.w3.org/2001/XMLSchema" xmlns:xs="http://www.w3.org/2001/XMLSchema" xmlns:p="http://schemas.microsoft.com/office/2006/metadata/properties" xmlns:ns2="f48ed17f-0407-4753-b79e-f359fb0fad32" xmlns:ns3="b320e4b7-8755-4b2d-b9ac-f2d67373ff42" targetNamespace="http://schemas.microsoft.com/office/2006/metadata/properties" ma:root="true" ma:fieldsID="c148bb771ce10b980ba488e54a3fdf4a" ns2:_="" ns3:_="">
    <xsd:import namespace="f48ed17f-0407-4753-b79e-f359fb0fad32"/>
    <xsd:import namespace="b320e4b7-8755-4b2d-b9ac-f2d67373ff4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Assignment"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ed17f-0407-4753-b79e-f359fb0f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Assignment" ma:index="20" nillable="true" ma:displayName="Assignment" ma:format="Dropdown" ma:internalName="Assignment">
      <xsd:simpleType>
        <xsd:restriction base="dms:Text">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774ea4a-61ee-4b8e-9f7e-f9d0f96511b1" ma:termSetId="09814cd3-568e-fe90-9814-8d621ff8fb84" ma:anchorId="fba54fb3-c3e1-fe81-a776-ca4b69148c4d" ma:open="true" ma:isKeyword="false">
      <xsd:complexType>
        <xsd:sequence>
          <xsd:element ref="pc:Terms" minOccurs="0" maxOccurs="1"/>
        </xsd:sequence>
      </xsd:complexType>
    </xsd:element>
    <xsd:element name="_Flow_SignoffStatus" ma:index="25" nillable="true" ma:displayName="Sales Compensation - Approval Status" ma:format="Dropdown" ma:internalName="Sign_x002d_off_x0020_status">
      <xsd:simpleType>
        <xsd:restriction base="dms:Text">
          <xsd:maxLength value="255"/>
        </xsd:restriction>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20e4b7-8755-4b2d-b9ac-f2d67373ff4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3199b47-0eff-4b55-82e6-51d10d94ed76}" ma:internalName="TaxCatchAll" ma:showField="CatchAllData" ma:web="b320e4b7-8755-4b2d-b9ac-f2d67373ff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ssignment xmlns="f48ed17f-0407-4753-b79e-f359fb0fad32" xsi:nil="true"/>
    <_Flow_SignoffStatus xmlns="f48ed17f-0407-4753-b79e-f359fb0fad32" xsi:nil="true"/>
    <lcf76f155ced4ddcb4097134ff3c332f xmlns="f48ed17f-0407-4753-b79e-f359fb0fad32">
      <Terms xmlns="http://schemas.microsoft.com/office/infopath/2007/PartnerControls"/>
    </lcf76f155ced4ddcb4097134ff3c332f>
    <TaxCatchAll xmlns="b320e4b7-8755-4b2d-b9ac-f2d67373ff42" xsi:nil="true"/>
  </documentManagement>
</p:properties>
</file>

<file path=customXml/itemProps1.xml><?xml version="1.0" encoding="utf-8"?>
<ds:datastoreItem xmlns:ds="http://schemas.openxmlformats.org/officeDocument/2006/customXml" ds:itemID="{79A69509-C620-4D8D-A4AF-391040D43BFB}"/>
</file>

<file path=customXml/itemProps2.xml><?xml version="1.0" encoding="utf-8"?>
<ds:datastoreItem xmlns:ds="http://schemas.openxmlformats.org/officeDocument/2006/customXml" ds:itemID="{FE3C41CD-0A60-4BEF-ABDA-AEAFB60B18F6}"/>
</file>

<file path=customXml/itemProps3.xml><?xml version="1.0" encoding="utf-8"?>
<ds:datastoreItem xmlns:ds="http://schemas.openxmlformats.org/officeDocument/2006/customXml" ds:itemID="{CF3840F3-5977-42BE-8510-22472E77E2BC}"/>
</file>

<file path=docMetadata/LabelInfo.xml><?xml version="1.0" encoding="utf-8"?>
<clbl:labelList xmlns:clbl="http://schemas.microsoft.com/office/2020/mipLabelMetadata">
  <clbl:label id="{45d53a40-131c-4896-94ef-8cd3538b3834}" enabled="0" method="" siteId="{45d53a40-131c-4896-94ef-8cd3538b383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Chad Ritsema</dc:creator>
  <cp:keywords/>
  <dc:description/>
  <cp:lastModifiedBy/>
  <cp:revision/>
  <dcterms:created xsi:type="dcterms:W3CDTF">2025-12-10T17:02:08Z</dcterms:created>
  <dcterms:modified xsi:type="dcterms:W3CDTF">2026-05-13T13:43:17Z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0x01010026BD4C89EF917F4F9D920659C7CD8F94</vt:lpwstr>
  </property>
  <property fmtid="{D5CDD505-2E9C-101B-9397-08002B2CF9AE}" pid="3" name="MediaServiceImageTags">
    <vt:lpwstr/>
  </property>
</Properties>
</file>